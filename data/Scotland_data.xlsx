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reg29_cam_ac_uk/Documents/Desktop/crex flight height/"/>
    </mc:Choice>
  </mc:AlternateContent>
  <xr:revisionPtr revIDLastSave="0" documentId="8_{9EBD7988-3404-480F-A49B-12D39FFFF1D3}" xr6:coauthVersionLast="47" xr6:coauthVersionMax="47" xr10:uidLastSave="{00000000-0000-0000-0000-000000000000}"/>
  <bookViews>
    <workbookView xWindow="-110" yWindow="-110" windowWidth="19420" windowHeight="10300" xr2:uid="{4F2EB698-DA82-425F-9401-5575AB7AA972}"/>
  </bookViews>
  <sheets>
    <sheet name="on bird fix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83" i="1" l="1"/>
  <c r="M283" i="1"/>
  <c r="R282" i="1"/>
  <c r="M282" i="1"/>
  <c r="R281" i="1"/>
  <c r="M281" i="1"/>
  <c r="R280" i="1"/>
  <c r="M280" i="1"/>
  <c r="R279" i="1"/>
  <c r="M279" i="1"/>
  <c r="R278" i="1"/>
  <c r="M278" i="1"/>
  <c r="R277" i="1"/>
  <c r="M277" i="1"/>
  <c r="R276" i="1"/>
  <c r="M276" i="1"/>
  <c r="R275" i="1"/>
  <c r="M275" i="1"/>
  <c r="R274" i="1"/>
  <c r="M274" i="1"/>
  <c r="R273" i="1"/>
  <c r="M273" i="1"/>
  <c r="R272" i="1"/>
  <c r="M272" i="1"/>
  <c r="R271" i="1"/>
  <c r="M271" i="1"/>
  <c r="R270" i="1"/>
  <c r="M270" i="1"/>
  <c r="R269" i="1"/>
  <c r="M269" i="1"/>
  <c r="R268" i="1"/>
  <c r="M268" i="1"/>
  <c r="R267" i="1"/>
  <c r="M267" i="1"/>
  <c r="R266" i="1"/>
  <c r="M266" i="1"/>
  <c r="R265" i="1"/>
  <c r="M265" i="1"/>
  <c r="R264" i="1"/>
  <c r="M264" i="1"/>
  <c r="R263" i="1"/>
  <c r="M263" i="1"/>
  <c r="R262" i="1"/>
  <c r="M262" i="1"/>
  <c r="R261" i="1"/>
  <c r="M261" i="1"/>
  <c r="R260" i="1"/>
  <c r="M260" i="1"/>
  <c r="R259" i="1"/>
  <c r="M259" i="1"/>
  <c r="R258" i="1"/>
  <c r="M258" i="1"/>
  <c r="R257" i="1"/>
  <c r="M257" i="1"/>
  <c r="R256" i="1"/>
  <c r="M256" i="1"/>
  <c r="R255" i="1"/>
  <c r="M255" i="1"/>
  <c r="R254" i="1"/>
  <c r="M254" i="1"/>
  <c r="R253" i="1"/>
  <c r="M253" i="1"/>
  <c r="R252" i="1"/>
  <c r="M252" i="1"/>
  <c r="R251" i="1"/>
  <c r="M251" i="1"/>
  <c r="M250" i="1"/>
  <c r="R249" i="1"/>
  <c r="M249" i="1"/>
  <c r="R248" i="1"/>
  <c r="M248" i="1"/>
  <c r="R247" i="1"/>
  <c r="M247" i="1"/>
  <c r="R246" i="1"/>
  <c r="M246" i="1"/>
  <c r="R245" i="1"/>
  <c r="M245" i="1"/>
  <c r="R244" i="1"/>
  <c r="M244" i="1"/>
  <c r="R243" i="1"/>
  <c r="M243" i="1"/>
  <c r="R242" i="1"/>
  <c r="M242" i="1"/>
  <c r="R241" i="1"/>
  <c r="M241" i="1"/>
  <c r="R240" i="1"/>
  <c r="M240" i="1"/>
  <c r="R239" i="1"/>
  <c r="M239" i="1"/>
  <c r="R238" i="1"/>
  <c r="M238" i="1"/>
  <c r="R237" i="1"/>
  <c r="M237" i="1"/>
  <c r="R236" i="1"/>
  <c r="M236" i="1"/>
  <c r="R235" i="1"/>
  <c r="M235" i="1"/>
  <c r="R234" i="1"/>
  <c r="M234" i="1"/>
  <c r="R233" i="1"/>
  <c r="M233" i="1"/>
  <c r="R232" i="1"/>
  <c r="M232" i="1"/>
  <c r="R231" i="1"/>
  <c r="M231" i="1"/>
  <c r="R230" i="1"/>
  <c r="M230" i="1"/>
  <c r="R229" i="1"/>
  <c r="M229" i="1"/>
  <c r="R228" i="1"/>
  <c r="M228" i="1"/>
  <c r="R227" i="1"/>
  <c r="M227" i="1"/>
  <c r="R226" i="1"/>
  <c r="M226" i="1"/>
  <c r="R225" i="1"/>
  <c r="M225" i="1"/>
  <c r="R224" i="1"/>
  <c r="M224" i="1"/>
  <c r="R223" i="1"/>
  <c r="M223" i="1"/>
  <c r="R222" i="1"/>
  <c r="M222" i="1"/>
  <c r="R221" i="1"/>
  <c r="M221" i="1"/>
  <c r="R220" i="1"/>
  <c r="M220" i="1"/>
  <c r="R219" i="1"/>
  <c r="M219" i="1"/>
  <c r="R218" i="1"/>
  <c r="M218" i="1"/>
  <c r="R217" i="1"/>
  <c r="M217" i="1"/>
  <c r="R216" i="1"/>
  <c r="M216" i="1"/>
  <c r="R215" i="1"/>
  <c r="M215" i="1"/>
  <c r="R214" i="1"/>
  <c r="M214" i="1"/>
  <c r="R213" i="1"/>
  <c r="M213" i="1"/>
  <c r="R212" i="1"/>
  <c r="M212" i="1"/>
  <c r="R211" i="1"/>
  <c r="M211" i="1"/>
  <c r="R210" i="1"/>
  <c r="M210" i="1"/>
  <c r="R209" i="1"/>
  <c r="M209" i="1"/>
  <c r="R208" i="1"/>
  <c r="M208" i="1"/>
  <c r="R207" i="1"/>
  <c r="M207" i="1"/>
  <c r="R206" i="1"/>
  <c r="M206" i="1"/>
  <c r="R205" i="1"/>
  <c r="M205" i="1"/>
  <c r="R204" i="1"/>
  <c r="M204" i="1"/>
  <c r="R203" i="1"/>
  <c r="M203" i="1"/>
  <c r="R202" i="1"/>
  <c r="M202" i="1"/>
  <c r="R201" i="1"/>
  <c r="M201" i="1"/>
  <c r="R200" i="1"/>
  <c r="M200" i="1"/>
  <c r="R199" i="1"/>
  <c r="M199" i="1"/>
  <c r="R198" i="1"/>
  <c r="M198" i="1"/>
  <c r="R197" i="1"/>
  <c r="M197" i="1"/>
  <c r="R196" i="1"/>
  <c r="M196" i="1"/>
  <c r="R195" i="1"/>
  <c r="M195" i="1"/>
  <c r="R194" i="1"/>
  <c r="M194" i="1"/>
  <c r="R193" i="1"/>
  <c r="M193" i="1"/>
  <c r="R192" i="1"/>
  <c r="M192" i="1"/>
  <c r="R191" i="1"/>
  <c r="M191" i="1"/>
  <c r="R190" i="1"/>
  <c r="M190" i="1"/>
  <c r="R189" i="1"/>
  <c r="M189" i="1"/>
  <c r="R188" i="1"/>
  <c r="M188" i="1"/>
  <c r="R187" i="1"/>
  <c r="M187" i="1"/>
  <c r="R186" i="1"/>
  <c r="M186" i="1"/>
  <c r="R185" i="1"/>
  <c r="M185" i="1"/>
  <c r="R184" i="1"/>
  <c r="M184" i="1"/>
  <c r="R183" i="1"/>
  <c r="M183" i="1"/>
  <c r="R182" i="1"/>
  <c r="M182" i="1"/>
  <c r="R181" i="1"/>
  <c r="M181" i="1"/>
  <c r="R180" i="1"/>
  <c r="M180" i="1"/>
  <c r="R179" i="1"/>
  <c r="M179" i="1"/>
  <c r="R178" i="1"/>
  <c r="M178" i="1"/>
  <c r="R177" i="1"/>
  <c r="M177" i="1"/>
  <c r="R176" i="1"/>
  <c r="M176" i="1"/>
  <c r="R175" i="1"/>
  <c r="M175" i="1"/>
  <c r="R174" i="1"/>
  <c r="M174" i="1"/>
  <c r="R173" i="1"/>
  <c r="M173" i="1"/>
  <c r="R172" i="1"/>
  <c r="M172" i="1"/>
  <c r="R171" i="1"/>
  <c r="M171" i="1"/>
  <c r="R170" i="1"/>
  <c r="M170" i="1"/>
  <c r="R169" i="1"/>
  <c r="M169" i="1"/>
  <c r="R168" i="1"/>
  <c r="M168" i="1"/>
  <c r="R167" i="1"/>
  <c r="M167" i="1"/>
  <c r="R166" i="1"/>
  <c r="M166" i="1"/>
  <c r="R165" i="1"/>
  <c r="M165" i="1"/>
  <c r="R164" i="1"/>
  <c r="M164" i="1"/>
  <c r="R163" i="1"/>
  <c r="M163" i="1"/>
  <c r="R162" i="1"/>
  <c r="M162" i="1"/>
  <c r="R161" i="1"/>
  <c r="M161" i="1"/>
  <c r="R160" i="1"/>
  <c r="M160" i="1"/>
  <c r="R159" i="1"/>
  <c r="M159" i="1"/>
  <c r="R158" i="1"/>
  <c r="M158" i="1"/>
  <c r="R157" i="1"/>
  <c r="M157" i="1"/>
  <c r="R156" i="1"/>
  <c r="M156" i="1"/>
  <c r="R155" i="1"/>
  <c r="M155" i="1"/>
  <c r="R154" i="1"/>
  <c r="M154" i="1"/>
  <c r="R153" i="1"/>
  <c r="M153" i="1"/>
  <c r="R152" i="1"/>
  <c r="M152" i="1"/>
  <c r="R151" i="1"/>
  <c r="M151" i="1"/>
  <c r="R150" i="1"/>
  <c r="M150" i="1"/>
  <c r="R149" i="1"/>
  <c r="M149" i="1"/>
  <c r="R148" i="1"/>
  <c r="M148" i="1"/>
  <c r="R147" i="1"/>
  <c r="M147" i="1"/>
  <c r="R146" i="1"/>
  <c r="M146" i="1"/>
  <c r="R145" i="1"/>
  <c r="M145" i="1"/>
  <c r="R144" i="1"/>
  <c r="M144" i="1"/>
  <c r="R143" i="1"/>
  <c r="M143" i="1"/>
  <c r="R142" i="1"/>
  <c r="M142" i="1"/>
  <c r="R141" i="1"/>
  <c r="M141" i="1"/>
  <c r="R140" i="1"/>
  <c r="M140" i="1"/>
  <c r="R139" i="1"/>
  <c r="M139" i="1"/>
  <c r="R138" i="1"/>
  <c r="M138" i="1"/>
  <c r="R137" i="1"/>
  <c r="M137" i="1"/>
  <c r="R136" i="1"/>
  <c r="M136" i="1"/>
  <c r="R135" i="1"/>
  <c r="M135" i="1"/>
  <c r="R134" i="1"/>
  <c r="M134" i="1"/>
  <c r="R133" i="1"/>
  <c r="M133" i="1"/>
  <c r="R132" i="1"/>
  <c r="M132" i="1"/>
  <c r="R131" i="1"/>
  <c r="M131" i="1"/>
  <c r="R130" i="1"/>
  <c r="M130" i="1"/>
  <c r="R129" i="1"/>
  <c r="M129" i="1"/>
  <c r="R128" i="1"/>
  <c r="M128" i="1"/>
  <c r="R127" i="1"/>
  <c r="M127" i="1"/>
  <c r="R126" i="1"/>
  <c r="M126" i="1"/>
  <c r="R125" i="1"/>
  <c r="M125" i="1"/>
  <c r="R124" i="1"/>
  <c r="M124" i="1"/>
  <c r="R123" i="1"/>
  <c r="M123" i="1"/>
  <c r="R122" i="1"/>
  <c r="M122" i="1"/>
  <c r="R121" i="1"/>
  <c r="M121" i="1"/>
  <c r="R120" i="1"/>
  <c r="M120" i="1"/>
  <c r="R119" i="1"/>
  <c r="M119" i="1"/>
  <c r="R118" i="1"/>
  <c r="M118" i="1"/>
  <c r="R117" i="1"/>
  <c r="M117" i="1"/>
  <c r="R116" i="1"/>
  <c r="M116" i="1"/>
  <c r="R115" i="1"/>
  <c r="M115" i="1"/>
  <c r="R114" i="1"/>
  <c r="M114" i="1"/>
  <c r="R113" i="1"/>
  <c r="M113" i="1"/>
  <c r="R112" i="1"/>
  <c r="M112" i="1"/>
  <c r="R111" i="1"/>
  <c r="M111" i="1"/>
  <c r="R110" i="1"/>
  <c r="M110" i="1"/>
  <c r="R109" i="1"/>
  <c r="M109" i="1"/>
  <c r="R108" i="1"/>
  <c r="M108" i="1"/>
  <c r="R107" i="1"/>
  <c r="M107" i="1"/>
  <c r="R106" i="1"/>
  <c r="M106" i="1"/>
  <c r="R105" i="1"/>
  <c r="M105" i="1"/>
  <c r="R104" i="1"/>
  <c r="M104" i="1"/>
  <c r="R103" i="1"/>
  <c r="M103" i="1"/>
  <c r="R102" i="1"/>
  <c r="M102" i="1"/>
  <c r="R101" i="1"/>
  <c r="M101" i="1"/>
  <c r="R100" i="1"/>
  <c r="M100" i="1"/>
  <c r="R99" i="1"/>
  <c r="M99" i="1"/>
  <c r="R98" i="1"/>
  <c r="M98" i="1"/>
  <c r="R97" i="1"/>
  <c r="M97" i="1"/>
  <c r="R96" i="1"/>
  <c r="M96" i="1"/>
  <c r="R95" i="1"/>
  <c r="M95" i="1"/>
  <c r="R94" i="1"/>
  <c r="M94" i="1"/>
  <c r="R93" i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S107" i="1" s="1"/>
  <c r="S108" i="1" s="1"/>
  <c r="S109" i="1" s="1"/>
  <c r="S110" i="1" s="1"/>
  <c r="S111" i="1" s="1"/>
  <c r="S112" i="1" s="1"/>
  <c r="S113" i="1" s="1"/>
  <c r="S114" i="1" s="1"/>
  <c r="S115" i="1" s="1"/>
  <c r="S116" i="1" s="1"/>
  <c r="S117" i="1" s="1"/>
  <c r="S118" i="1" s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S129" i="1" s="1"/>
  <c r="S130" i="1" s="1"/>
  <c r="S131" i="1" s="1"/>
  <c r="S132" i="1" s="1"/>
  <c r="S133" i="1" s="1"/>
  <c r="S134" i="1" s="1"/>
  <c r="S135" i="1" s="1"/>
  <c r="S136" i="1" s="1"/>
  <c r="S137" i="1" s="1"/>
  <c r="S138" i="1" s="1"/>
  <c r="S139" i="1" s="1"/>
  <c r="S140" i="1" s="1"/>
  <c r="S141" i="1" s="1"/>
  <c r="S142" i="1" s="1"/>
  <c r="S143" i="1" s="1"/>
  <c r="S144" i="1" s="1"/>
  <c r="S145" i="1" s="1"/>
  <c r="S146" i="1" s="1"/>
  <c r="S147" i="1" s="1"/>
  <c r="S148" i="1" s="1"/>
  <c r="S149" i="1" s="1"/>
  <c r="S150" i="1" s="1"/>
  <c r="S151" i="1" s="1"/>
  <c r="S152" i="1" s="1"/>
  <c r="S153" i="1" s="1"/>
  <c r="S154" i="1" s="1"/>
  <c r="S155" i="1" s="1"/>
  <c r="S156" i="1" s="1"/>
  <c r="S157" i="1" s="1"/>
  <c r="S158" i="1" s="1"/>
  <c r="S159" i="1" s="1"/>
  <c r="S160" i="1" s="1"/>
  <c r="S161" i="1" s="1"/>
  <c r="S162" i="1" s="1"/>
  <c r="S163" i="1" s="1"/>
  <c r="S164" i="1" s="1"/>
  <c r="S165" i="1" s="1"/>
  <c r="S166" i="1" s="1"/>
  <c r="S167" i="1" s="1"/>
  <c r="S168" i="1" s="1"/>
  <c r="S169" i="1" s="1"/>
  <c r="S170" i="1" s="1"/>
  <c r="S171" i="1" s="1"/>
  <c r="S172" i="1" s="1"/>
  <c r="S173" i="1" s="1"/>
  <c r="S174" i="1" s="1"/>
  <c r="S175" i="1" s="1"/>
  <c r="S176" i="1" s="1"/>
  <c r="S177" i="1" s="1"/>
  <c r="S178" i="1" s="1"/>
  <c r="S179" i="1" s="1"/>
  <c r="S180" i="1" s="1"/>
  <c r="S181" i="1" s="1"/>
  <c r="S182" i="1" s="1"/>
  <c r="S183" i="1" s="1"/>
  <c r="S184" i="1" s="1"/>
  <c r="S185" i="1" s="1"/>
  <c r="S186" i="1" s="1"/>
  <c r="S187" i="1" s="1"/>
  <c r="S188" i="1" s="1"/>
  <c r="S189" i="1" s="1"/>
  <c r="S190" i="1" s="1"/>
  <c r="S191" i="1" s="1"/>
  <c r="S192" i="1" s="1"/>
  <c r="S193" i="1" s="1"/>
  <c r="S194" i="1" s="1"/>
  <c r="S195" i="1" s="1"/>
  <c r="S196" i="1" s="1"/>
  <c r="S197" i="1" s="1"/>
  <c r="S198" i="1" s="1"/>
  <c r="S199" i="1" s="1"/>
  <c r="S200" i="1" s="1"/>
  <c r="S201" i="1" s="1"/>
  <c r="S202" i="1" s="1"/>
  <c r="S203" i="1" s="1"/>
  <c r="S204" i="1" s="1"/>
  <c r="S205" i="1" s="1"/>
  <c r="S206" i="1" s="1"/>
  <c r="S207" i="1" s="1"/>
  <c r="S208" i="1" s="1"/>
  <c r="S209" i="1" s="1"/>
  <c r="S210" i="1" s="1"/>
  <c r="S211" i="1" s="1"/>
  <c r="S212" i="1" s="1"/>
  <c r="S213" i="1" s="1"/>
  <c r="S214" i="1" s="1"/>
  <c r="S215" i="1" s="1"/>
  <c r="S216" i="1" s="1"/>
  <c r="S217" i="1" s="1"/>
  <c r="S218" i="1" s="1"/>
  <c r="S219" i="1" s="1"/>
  <c r="S220" i="1" s="1"/>
  <c r="S221" i="1" s="1"/>
  <c r="S222" i="1" s="1"/>
  <c r="S223" i="1" s="1"/>
  <c r="S224" i="1" s="1"/>
  <c r="S225" i="1" s="1"/>
  <c r="S226" i="1" s="1"/>
  <c r="S227" i="1" s="1"/>
  <c r="S228" i="1" s="1"/>
  <c r="S229" i="1" s="1"/>
  <c r="S230" i="1" s="1"/>
  <c r="S231" i="1" s="1"/>
  <c r="S232" i="1" s="1"/>
  <c r="S233" i="1" s="1"/>
  <c r="S234" i="1" s="1"/>
  <c r="S235" i="1" s="1"/>
  <c r="S236" i="1" s="1"/>
  <c r="S237" i="1" s="1"/>
  <c r="S238" i="1" s="1"/>
  <c r="S239" i="1" s="1"/>
  <c r="S240" i="1" s="1"/>
  <c r="S241" i="1" s="1"/>
  <c r="S242" i="1" s="1"/>
  <c r="S243" i="1" s="1"/>
  <c r="S244" i="1" s="1"/>
  <c r="S245" i="1" s="1"/>
  <c r="S246" i="1" s="1"/>
  <c r="S247" i="1" s="1"/>
  <c r="S248" i="1" s="1"/>
  <c r="S249" i="1" s="1"/>
  <c r="S250" i="1" s="1"/>
  <c r="S251" i="1" s="1"/>
  <c r="S252" i="1" s="1"/>
  <c r="S253" i="1" s="1"/>
  <c r="S254" i="1" s="1"/>
  <c r="S255" i="1" s="1"/>
  <c r="S256" i="1" s="1"/>
  <c r="S257" i="1" s="1"/>
  <c r="S258" i="1" s="1"/>
  <c r="S259" i="1" s="1"/>
  <c r="S260" i="1" s="1"/>
  <c r="S261" i="1" s="1"/>
  <c r="S262" i="1" s="1"/>
  <c r="S263" i="1" s="1"/>
  <c r="S264" i="1" s="1"/>
  <c r="S265" i="1" s="1"/>
  <c r="S266" i="1" s="1"/>
  <c r="S267" i="1" s="1"/>
  <c r="S268" i="1" s="1"/>
  <c r="S269" i="1" s="1"/>
  <c r="S270" i="1" s="1"/>
  <c r="S271" i="1" s="1"/>
  <c r="S272" i="1" s="1"/>
  <c r="S273" i="1" s="1"/>
  <c r="S274" i="1" s="1"/>
  <c r="S275" i="1" s="1"/>
  <c r="S276" i="1" s="1"/>
  <c r="S277" i="1" s="1"/>
  <c r="S278" i="1" s="1"/>
  <c r="S279" i="1" s="1"/>
  <c r="S280" i="1" s="1"/>
  <c r="S281" i="1" s="1"/>
  <c r="S282" i="1" s="1"/>
  <c r="S283" i="1" s="1"/>
  <c r="M93" i="1"/>
  <c r="R92" i="1"/>
  <c r="M92" i="1"/>
  <c r="R91" i="1"/>
  <c r="M91" i="1"/>
  <c r="R90" i="1"/>
  <c r="M90" i="1"/>
  <c r="R89" i="1"/>
  <c r="M89" i="1"/>
  <c r="R88" i="1"/>
  <c r="M88" i="1"/>
  <c r="R87" i="1"/>
  <c r="M87" i="1"/>
  <c r="R86" i="1"/>
  <c r="M86" i="1"/>
  <c r="R85" i="1"/>
  <c r="M85" i="1"/>
  <c r="R84" i="1"/>
  <c r="M84" i="1"/>
  <c r="R83" i="1"/>
  <c r="M83" i="1"/>
  <c r="R82" i="1"/>
  <c r="M82" i="1"/>
  <c r="R81" i="1"/>
  <c r="M81" i="1"/>
  <c r="R80" i="1"/>
  <c r="M80" i="1"/>
  <c r="R79" i="1"/>
  <c r="M79" i="1"/>
  <c r="R78" i="1"/>
  <c r="M78" i="1"/>
  <c r="R77" i="1"/>
  <c r="M77" i="1"/>
  <c r="R76" i="1"/>
  <c r="M76" i="1"/>
  <c r="R75" i="1"/>
  <c r="M75" i="1"/>
  <c r="R74" i="1"/>
  <c r="M74" i="1"/>
  <c r="R73" i="1"/>
  <c r="M73" i="1"/>
  <c r="R72" i="1"/>
  <c r="M72" i="1"/>
  <c r="R71" i="1"/>
  <c r="M71" i="1"/>
  <c r="R70" i="1"/>
  <c r="M70" i="1"/>
  <c r="R69" i="1"/>
  <c r="M69" i="1"/>
  <c r="R68" i="1"/>
  <c r="M68" i="1"/>
  <c r="R67" i="1"/>
  <c r="M67" i="1"/>
  <c r="R66" i="1"/>
  <c r="M66" i="1"/>
  <c r="R65" i="1"/>
  <c r="M65" i="1"/>
  <c r="R64" i="1"/>
  <c r="M64" i="1"/>
  <c r="R63" i="1"/>
  <c r="M63" i="1"/>
  <c r="R62" i="1"/>
  <c r="M62" i="1"/>
  <c r="R61" i="1"/>
  <c r="M61" i="1"/>
  <c r="R60" i="1"/>
  <c r="M60" i="1"/>
  <c r="R59" i="1"/>
  <c r="M59" i="1"/>
  <c r="R58" i="1"/>
  <c r="M58" i="1"/>
  <c r="R57" i="1"/>
  <c r="M57" i="1"/>
  <c r="R56" i="1"/>
  <c r="M56" i="1"/>
  <c r="R55" i="1"/>
  <c r="M55" i="1"/>
  <c r="R54" i="1"/>
  <c r="M54" i="1"/>
  <c r="R53" i="1"/>
  <c r="M53" i="1"/>
  <c r="R52" i="1"/>
  <c r="M52" i="1"/>
  <c r="R51" i="1"/>
  <c r="M51" i="1"/>
  <c r="R50" i="1"/>
  <c r="M50" i="1"/>
  <c r="R49" i="1"/>
  <c r="M49" i="1"/>
  <c r="R48" i="1"/>
  <c r="M48" i="1"/>
  <c r="R47" i="1"/>
  <c r="M47" i="1"/>
  <c r="R46" i="1"/>
  <c r="M46" i="1"/>
  <c r="R45" i="1"/>
  <c r="M45" i="1"/>
  <c r="R44" i="1"/>
  <c r="M44" i="1"/>
  <c r="R43" i="1"/>
  <c r="M43" i="1"/>
  <c r="R42" i="1"/>
  <c r="M42" i="1"/>
  <c r="R41" i="1"/>
  <c r="M41" i="1"/>
  <c r="R40" i="1"/>
  <c r="M40" i="1"/>
  <c r="R39" i="1"/>
  <c r="M39" i="1"/>
  <c r="R38" i="1"/>
  <c r="M38" i="1"/>
  <c r="R37" i="1"/>
  <c r="M37" i="1"/>
  <c r="R36" i="1"/>
  <c r="M36" i="1"/>
  <c r="R35" i="1"/>
  <c r="M35" i="1"/>
  <c r="R34" i="1"/>
  <c r="M34" i="1"/>
  <c r="R33" i="1"/>
  <c r="M33" i="1"/>
  <c r="R32" i="1"/>
  <c r="M32" i="1"/>
  <c r="R31" i="1"/>
  <c r="M31" i="1"/>
  <c r="R30" i="1"/>
  <c r="M30" i="1"/>
  <c r="R29" i="1"/>
  <c r="M29" i="1"/>
  <c r="R28" i="1"/>
  <c r="M28" i="1"/>
  <c r="R27" i="1"/>
  <c r="M27" i="1"/>
  <c r="R26" i="1"/>
  <c r="M26" i="1"/>
  <c r="R25" i="1"/>
  <c r="M25" i="1"/>
  <c r="R24" i="1"/>
  <c r="M24" i="1"/>
  <c r="R23" i="1"/>
  <c r="M23" i="1"/>
  <c r="R22" i="1"/>
  <c r="M22" i="1"/>
  <c r="R21" i="1"/>
  <c r="M21" i="1"/>
  <c r="R20" i="1"/>
  <c r="M20" i="1"/>
  <c r="R19" i="1"/>
  <c r="M19" i="1"/>
  <c r="R18" i="1"/>
  <c r="M18" i="1"/>
  <c r="R17" i="1"/>
  <c r="M17" i="1"/>
  <c r="R16" i="1"/>
  <c r="M16" i="1"/>
  <c r="R15" i="1"/>
  <c r="M15" i="1"/>
  <c r="R14" i="1"/>
  <c r="M14" i="1"/>
  <c r="R13" i="1"/>
  <c r="M13" i="1"/>
  <c r="R12" i="1"/>
  <c r="M12" i="1"/>
  <c r="R11" i="1"/>
  <c r="M11" i="1"/>
  <c r="R10" i="1"/>
  <c r="M10" i="1"/>
  <c r="R9" i="1"/>
  <c r="M9" i="1"/>
  <c r="R8" i="1"/>
  <c r="M8" i="1"/>
  <c r="R7" i="1"/>
  <c r="M7" i="1"/>
  <c r="R6" i="1"/>
  <c r="M6" i="1"/>
  <c r="R5" i="1"/>
  <c r="M5" i="1"/>
  <c r="R4" i="1"/>
  <c r="M4" i="1"/>
  <c r="S3" i="1"/>
  <c r="S4" i="1" s="1"/>
  <c r="S5" i="1" s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R3" i="1"/>
  <c r="M3" i="1"/>
  <c r="S2" i="1"/>
  <c r="R2" i="1"/>
  <c r="M2" i="1"/>
</calcChain>
</file>

<file path=xl/sharedStrings.xml><?xml version="1.0" encoding="utf-8"?>
<sst xmlns="http://schemas.openxmlformats.org/spreadsheetml/2006/main" count="313" uniqueCount="32">
  <si>
    <t>device_id</t>
  </si>
  <si>
    <t>UTC_datetime</t>
  </si>
  <si>
    <t>UTC_date</t>
  </si>
  <si>
    <t>UTC_time</t>
  </si>
  <si>
    <t>time</t>
  </si>
  <si>
    <t>datatype</t>
  </si>
  <si>
    <t>satcount</t>
  </si>
  <si>
    <t>U_bat_mV</t>
  </si>
  <si>
    <t>bat_soc_pct</t>
  </si>
  <si>
    <t>solar_I_mA</t>
  </si>
  <si>
    <t>hdop</t>
  </si>
  <si>
    <t>UT time of day FIX</t>
  </si>
  <si>
    <t xml:space="preserve">UT time of day MIDPOINT </t>
  </si>
  <si>
    <t>Latitude</t>
  </si>
  <si>
    <t>Longitude</t>
  </si>
  <si>
    <t>datetime</t>
  </si>
  <si>
    <t>speed km/h</t>
  </si>
  <si>
    <t>step length km</t>
  </si>
  <si>
    <t>accum steps km</t>
  </si>
  <si>
    <t>Altitude_m</t>
  </si>
  <si>
    <t>speed_km_h</t>
  </si>
  <si>
    <t>direction_deg</t>
  </si>
  <si>
    <t>temperature_C</t>
  </si>
  <si>
    <t>mag_x</t>
  </si>
  <si>
    <t>mag_y</t>
  </si>
  <si>
    <t>mag_z</t>
  </si>
  <si>
    <t>acc_x</t>
  </si>
  <si>
    <t>acc_y</t>
  </si>
  <si>
    <t>acc_z</t>
  </si>
  <si>
    <t>Latitude MIDPOINT</t>
  </si>
  <si>
    <t>Longitude MIDPOINT</t>
  </si>
  <si>
    <t>GPS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</si>
</sst>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/>
    <xf numFmtId="22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0" xfId="0" quotePrefix="1"/>
    <xf numFmtId="0" fontId="2" fillId="0" borderId="0" xfId="1"/>
    <xf numFmtId="0" fontId="0" fillId="2" borderId="0" xfId="0" applyFill="1"/>
  </cellXfs>
  <cellStyles count="2">
    <cellStyle name="Normal" xfId="0" builtinId="0"/>
    <cellStyle name="Normal 2" xfId="1" xr:uid="{FF0E1C7E-FBC4-404F-B024-36C4363638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34B54-B1D0-4B6B-AEDB-5D2FFAEE5904}">
  <dimension ref="A1:AE283"/>
  <sheetViews>
    <sheetView tabSelected="1" workbookViewId="0">
      <selection activeCell="B13" sqref="B13"/>
    </sheetView>
  </sheetViews>
  <sheetFormatPr defaultRowHeight="14.5" x14ac:dyDescent="0.35"/>
  <cols>
    <col min="2" max="2" width="16" customWidth="1"/>
    <col min="3" max="3" width="12.81640625" customWidth="1"/>
    <col min="16" max="16" width="15.08984375" bestFit="1" customWidth="1"/>
    <col min="17" max="19" width="15.08984375" customWidth="1"/>
    <col min="20" max="20" width="10.54296875" customWidth="1"/>
    <col min="21" max="21" width="12.54296875" customWidth="1"/>
    <col min="30" max="30" width="15.7265625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</row>
    <row r="2" spans="1:31" x14ac:dyDescent="0.35">
      <c r="A2">
        <v>373489</v>
      </c>
      <c r="B2" s="2">
        <v>45878.945138888892</v>
      </c>
      <c r="C2" s="3">
        <v>45878</v>
      </c>
      <c r="D2" s="4">
        <v>0.94533564814814819</v>
      </c>
      <c r="E2">
        <v>0.94533564814814819</v>
      </c>
      <c r="F2" t="s">
        <v>31</v>
      </c>
      <c r="G2">
        <v>6</v>
      </c>
      <c r="H2">
        <v>3950</v>
      </c>
      <c r="I2">
        <v>67</v>
      </c>
      <c r="J2">
        <v>0</v>
      </c>
      <c r="K2">
        <v>1.4</v>
      </c>
      <c r="L2">
        <v>0.94513888889196096</v>
      </c>
      <c r="M2">
        <f t="shared" ref="M2:M65" si="0">AVERAGE(P2:P3)-INT(AVERAGE(P2:P3))</f>
        <v>0.97291666666569654</v>
      </c>
      <c r="N2" s="5">
        <v>56.287326999999898</v>
      </c>
      <c r="O2">
        <v>-5.9918310000000004</v>
      </c>
      <c r="P2">
        <v>45878.945138888892</v>
      </c>
      <c r="Q2" s="6">
        <v>62.034010091418601</v>
      </c>
      <c r="R2" s="6">
        <f t="shared" ref="R2:R65" si="1">(6371*2*ASIN(SQRT((SIN((RADIANS($N2)-RADIANS($N3))/2)^2)+COS(RADIANS($N3))*COS(RADIANS($N2))*(SIN((RADIANS($O2)-RADIANS($O3))/2)^2))))</f>
        <v>71.259446643472927</v>
      </c>
      <c r="S2" s="6" t="e">
        <f t="shared" ref="S2:S65" si="2">S1+R2</f>
        <v>#VALUE!</v>
      </c>
      <c r="T2">
        <v>-752</v>
      </c>
      <c r="U2" s="7">
        <v>37</v>
      </c>
      <c r="V2">
        <v>151</v>
      </c>
      <c r="W2">
        <v>12</v>
      </c>
      <c r="X2">
        <v>0</v>
      </c>
      <c r="Y2">
        <v>0</v>
      </c>
      <c r="Z2">
        <v>0</v>
      </c>
      <c r="AA2">
        <v>-222</v>
      </c>
      <c r="AB2">
        <v>-589</v>
      </c>
      <c r="AC2">
        <v>661</v>
      </c>
      <c r="AD2">
        <v>56.221198999999949</v>
      </c>
      <c r="AE2">
        <v>-5.8742660000000004</v>
      </c>
    </row>
    <row r="3" spans="1:31" x14ac:dyDescent="0.35">
      <c r="A3">
        <v>373489</v>
      </c>
      <c r="B3" s="2">
        <v>45879.000694444447</v>
      </c>
      <c r="C3" s="3">
        <v>45879</v>
      </c>
      <c r="D3" s="4">
        <v>8.564814814814815E-4</v>
      </c>
      <c r="E3">
        <v>8.564814814814815E-4</v>
      </c>
      <c r="F3" t="s">
        <v>31</v>
      </c>
      <c r="G3">
        <v>6</v>
      </c>
      <c r="H3">
        <v>3950</v>
      </c>
      <c r="I3">
        <v>67</v>
      </c>
      <c r="J3">
        <v>0</v>
      </c>
      <c r="K3">
        <v>1.4</v>
      </c>
      <c r="L3">
        <v>6.944444467080757E-4</v>
      </c>
      <c r="M3">
        <f t="shared" si="0"/>
        <v>0.95208333333721384</v>
      </c>
      <c r="N3" s="5">
        <v>55.814301</v>
      </c>
      <c r="O3">
        <v>-5.2176020000000003</v>
      </c>
      <c r="P3">
        <v>45879.000694444447</v>
      </c>
      <c r="Q3" s="6">
        <v>58.955299900022716</v>
      </c>
      <c r="R3" s="6">
        <f t="shared" si="1"/>
        <v>120.83063184430243</v>
      </c>
      <c r="S3" s="6" t="e">
        <f t="shared" si="2"/>
        <v>#VALUE!</v>
      </c>
      <c r="T3">
        <v>317</v>
      </c>
      <c r="U3" s="7">
        <v>64</v>
      </c>
      <c r="V3">
        <v>121</v>
      </c>
      <c r="W3">
        <v>14</v>
      </c>
      <c r="X3">
        <v>0</v>
      </c>
      <c r="Y3">
        <v>0</v>
      </c>
      <c r="Z3">
        <v>0</v>
      </c>
      <c r="AA3">
        <v>249</v>
      </c>
      <c r="AB3">
        <v>782</v>
      </c>
      <c r="AC3">
        <v>1902</v>
      </c>
      <c r="AD3">
        <v>55.74476849999995</v>
      </c>
      <c r="AE3">
        <v>-5.1207200000000004</v>
      </c>
    </row>
    <row r="4" spans="1:31" x14ac:dyDescent="0.35">
      <c r="A4">
        <v>373489</v>
      </c>
      <c r="B4" s="2">
        <v>45878.90347222222</v>
      </c>
      <c r="C4" s="3">
        <v>45878</v>
      </c>
      <c r="D4" s="4">
        <v>0.90375000000000005</v>
      </c>
      <c r="E4">
        <v>0.90375000000000005</v>
      </c>
      <c r="F4" t="s">
        <v>31</v>
      </c>
      <c r="G4">
        <v>6</v>
      </c>
      <c r="H4">
        <v>3964</v>
      </c>
      <c r="I4">
        <v>69</v>
      </c>
      <c r="J4">
        <v>0</v>
      </c>
      <c r="K4">
        <v>1.3</v>
      </c>
      <c r="L4">
        <v>0.90347222222044365</v>
      </c>
      <c r="M4">
        <f t="shared" si="0"/>
        <v>0.96597222222044365</v>
      </c>
      <c r="N4" s="5">
        <v>56.573977999999897</v>
      </c>
      <c r="O4">
        <v>-6.6142110000000001</v>
      </c>
      <c r="P4">
        <v>45878.90347222222</v>
      </c>
      <c r="Q4" s="6">
        <v>55.300738388339852</v>
      </c>
      <c r="R4" s="6">
        <f t="shared" si="1"/>
        <v>157.4663699289396</v>
      </c>
      <c r="S4" s="6" t="e">
        <f t="shared" si="2"/>
        <v>#VALUE!</v>
      </c>
      <c r="T4">
        <v>27</v>
      </c>
      <c r="U4" s="7">
        <v>56</v>
      </c>
      <c r="V4">
        <v>131</v>
      </c>
      <c r="W4">
        <v>15</v>
      </c>
      <c r="X4">
        <v>0</v>
      </c>
      <c r="Y4">
        <v>0</v>
      </c>
      <c r="Z4">
        <v>0</v>
      </c>
      <c r="AA4">
        <v>243</v>
      </c>
      <c r="AB4">
        <v>273</v>
      </c>
      <c r="AC4">
        <v>507</v>
      </c>
      <c r="AD4">
        <v>56.526238999999897</v>
      </c>
      <c r="AE4">
        <v>-6.4822714999999995</v>
      </c>
    </row>
    <row r="5" spans="1:31" x14ac:dyDescent="0.35">
      <c r="A5">
        <v>373489</v>
      </c>
      <c r="B5" s="2">
        <v>45879.02847222222</v>
      </c>
      <c r="C5" s="3">
        <v>45879</v>
      </c>
      <c r="D5" s="4">
        <v>2.9016203703703704E-2</v>
      </c>
      <c r="E5">
        <v>2.9016203703703704E-2</v>
      </c>
      <c r="F5" t="s">
        <v>31</v>
      </c>
      <c r="G5">
        <v>6</v>
      </c>
      <c r="H5">
        <v>3947</v>
      </c>
      <c r="I5">
        <v>66</v>
      </c>
      <c r="J5">
        <v>0</v>
      </c>
      <c r="K5">
        <v>1.4</v>
      </c>
      <c r="L5">
        <v>2.8472222220443655E-2</v>
      </c>
      <c r="M5">
        <f t="shared" si="0"/>
        <v>2.1527777775190771E-2</v>
      </c>
      <c r="N5" s="5">
        <v>55.540275999999899</v>
      </c>
      <c r="O5">
        <v>-4.8804879999999997</v>
      </c>
      <c r="P5">
        <v>45879.02847222222</v>
      </c>
      <c r="Q5" s="6">
        <v>52.785433274433835</v>
      </c>
      <c r="R5" s="6">
        <f t="shared" si="1"/>
        <v>17.50062713257525</v>
      </c>
      <c r="S5" s="6" t="e">
        <f t="shared" si="2"/>
        <v>#VALUE!</v>
      </c>
      <c r="T5">
        <v>212</v>
      </c>
      <c r="U5" s="7">
        <v>48</v>
      </c>
      <c r="V5">
        <v>148</v>
      </c>
      <c r="W5">
        <v>14</v>
      </c>
      <c r="X5">
        <v>0</v>
      </c>
      <c r="Y5">
        <v>0</v>
      </c>
      <c r="Z5">
        <v>0</v>
      </c>
      <c r="AA5">
        <v>-405</v>
      </c>
      <c r="AB5">
        <v>-213</v>
      </c>
      <c r="AC5">
        <v>2047</v>
      </c>
      <c r="AD5">
        <v>55.48425699999995</v>
      </c>
      <c r="AE5">
        <v>-4.7818854999999996</v>
      </c>
    </row>
    <row r="6" spans="1:31" x14ac:dyDescent="0.35">
      <c r="A6">
        <v>373489</v>
      </c>
      <c r="B6" s="2">
        <v>45879.01458333333</v>
      </c>
      <c r="C6" s="3">
        <v>45879</v>
      </c>
      <c r="D6" s="4">
        <v>1.4965277777777777E-2</v>
      </c>
      <c r="E6">
        <v>1.4965277777777777E-2</v>
      </c>
      <c r="F6" t="s">
        <v>31</v>
      </c>
      <c r="G6">
        <v>5</v>
      </c>
      <c r="H6">
        <v>3953</v>
      </c>
      <c r="I6">
        <v>67</v>
      </c>
      <c r="J6">
        <v>0</v>
      </c>
      <c r="K6">
        <v>1.3</v>
      </c>
      <c r="L6">
        <v>1.4583333329937886E-2</v>
      </c>
      <c r="M6">
        <f t="shared" si="0"/>
        <v>0.98680555555620231</v>
      </c>
      <c r="N6" s="5">
        <v>55.675235999999899</v>
      </c>
      <c r="O6">
        <v>-5.0238379999999996</v>
      </c>
      <c r="P6">
        <v>45879.01458333333</v>
      </c>
      <c r="Q6" s="6">
        <v>52.501881391613729</v>
      </c>
      <c r="R6" s="6">
        <f t="shared" si="1"/>
        <v>70.230506161069542</v>
      </c>
      <c r="S6" s="6" t="e">
        <f t="shared" si="2"/>
        <v>#VALUE!</v>
      </c>
      <c r="T6">
        <v>235</v>
      </c>
      <c r="U6" s="7">
        <v>56</v>
      </c>
      <c r="V6">
        <v>152</v>
      </c>
      <c r="W6">
        <v>14</v>
      </c>
      <c r="X6">
        <v>0</v>
      </c>
      <c r="Y6">
        <v>0</v>
      </c>
      <c r="Z6">
        <v>0</v>
      </c>
      <c r="AA6">
        <v>-767</v>
      </c>
      <c r="AB6">
        <v>-81</v>
      </c>
      <c r="AC6">
        <v>355</v>
      </c>
      <c r="AD6">
        <v>55.607755999999895</v>
      </c>
      <c r="AE6">
        <v>-4.9521629999999996</v>
      </c>
    </row>
    <row r="7" spans="1:31" x14ac:dyDescent="0.35">
      <c r="A7">
        <v>373489</v>
      </c>
      <c r="B7" s="2">
        <v>45878.959027777775</v>
      </c>
      <c r="C7" s="3">
        <v>45878</v>
      </c>
      <c r="D7" s="4">
        <v>0.95921296296296299</v>
      </c>
      <c r="E7">
        <v>0.95921296296296299</v>
      </c>
      <c r="F7" t="s">
        <v>31</v>
      </c>
      <c r="G7">
        <v>5</v>
      </c>
      <c r="H7">
        <v>3953</v>
      </c>
      <c r="I7">
        <v>67</v>
      </c>
      <c r="J7">
        <v>0</v>
      </c>
      <c r="K7">
        <v>1.9</v>
      </c>
      <c r="L7">
        <v>0.95902777777519077</v>
      </c>
      <c r="M7">
        <f t="shared" si="0"/>
        <v>0.945138888884685</v>
      </c>
      <c r="N7" s="5">
        <v>56.155071</v>
      </c>
      <c r="O7">
        <v>-5.7567009999999996</v>
      </c>
      <c r="P7">
        <v>45878.959027777775</v>
      </c>
      <c r="Q7" s="6">
        <v>52.155498195332321</v>
      </c>
      <c r="R7" s="6">
        <f t="shared" si="1"/>
        <v>38.047092040379418</v>
      </c>
      <c r="S7" s="6" t="e">
        <f t="shared" si="2"/>
        <v>#VALUE!</v>
      </c>
      <c r="T7">
        <v>18</v>
      </c>
      <c r="U7" s="7">
        <v>53</v>
      </c>
      <c r="V7">
        <v>146</v>
      </c>
      <c r="W7">
        <v>15</v>
      </c>
      <c r="X7">
        <v>0</v>
      </c>
      <c r="Y7">
        <v>0</v>
      </c>
      <c r="Z7">
        <v>0</v>
      </c>
      <c r="AA7">
        <v>-820</v>
      </c>
      <c r="AB7">
        <v>-138</v>
      </c>
      <c r="AC7">
        <v>1904</v>
      </c>
      <c r="AD7">
        <v>56.095096499999997</v>
      </c>
      <c r="AE7">
        <v>-5.6668099999999999</v>
      </c>
    </row>
    <row r="8" spans="1:31" x14ac:dyDescent="0.35">
      <c r="A8">
        <v>373489</v>
      </c>
      <c r="B8" s="2">
        <v>45878.931250000001</v>
      </c>
      <c r="C8" s="3">
        <v>45878</v>
      </c>
      <c r="D8" s="4">
        <v>0.93187500000000001</v>
      </c>
      <c r="E8">
        <v>0.93187500000000001</v>
      </c>
      <c r="F8" t="s">
        <v>31</v>
      </c>
      <c r="G8">
        <v>7</v>
      </c>
      <c r="H8">
        <v>3953</v>
      </c>
      <c r="I8">
        <v>67</v>
      </c>
      <c r="J8">
        <v>0</v>
      </c>
      <c r="K8">
        <v>1.7</v>
      </c>
      <c r="L8">
        <v>0.93125000000145519</v>
      </c>
      <c r="M8">
        <f t="shared" si="0"/>
        <v>0.95902777777519077</v>
      </c>
      <c r="N8" s="5">
        <v>56.395817000000001</v>
      </c>
      <c r="O8">
        <v>-6.194642</v>
      </c>
      <c r="P8">
        <v>45878.931250000001</v>
      </c>
      <c r="Q8" s="6">
        <v>52.113131383875746</v>
      </c>
      <c r="R8" s="6">
        <f t="shared" si="1"/>
        <v>71.379869016847096</v>
      </c>
      <c r="S8" s="6" t="e">
        <f t="shared" si="2"/>
        <v>#VALUE!</v>
      </c>
      <c r="T8">
        <v>366</v>
      </c>
      <c r="U8" s="7">
        <v>16</v>
      </c>
      <c r="V8">
        <v>208</v>
      </c>
      <c r="W8">
        <v>14</v>
      </c>
      <c r="X8">
        <v>0</v>
      </c>
      <c r="Y8">
        <v>0</v>
      </c>
      <c r="Z8">
        <v>0</v>
      </c>
      <c r="AA8">
        <v>105</v>
      </c>
      <c r="AB8">
        <v>486</v>
      </c>
      <c r="AC8">
        <v>604</v>
      </c>
      <c r="AD8">
        <v>56.34157199999995</v>
      </c>
      <c r="AE8">
        <v>-6.0932364999999997</v>
      </c>
    </row>
    <row r="9" spans="1:31" x14ac:dyDescent="0.35">
      <c r="A9">
        <v>373489</v>
      </c>
      <c r="B9" s="2">
        <v>45878.986805555556</v>
      </c>
      <c r="C9" s="3">
        <v>45878</v>
      </c>
      <c r="D9" s="4">
        <v>0.98697916666666663</v>
      </c>
      <c r="E9">
        <v>0.98697916666666663</v>
      </c>
      <c r="F9" t="s">
        <v>31</v>
      </c>
      <c r="G9">
        <v>7</v>
      </c>
      <c r="H9">
        <v>3950</v>
      </c>
      <c r="I9">
        <v>67</v>
      </c>
      <c r="J9">
        <v>0</v>
      </c>
      <c r="K9">
        <v>1.8</v>
      </c>
      <c r="L9">
        <v>0.98680555555620231</v>
      </c>
      <c r="M9">
        <f t="shared" si="0"/>
        <v>0.97986111111094942</v>
      </c>
      <c r="N9" s="5">
        <v>55.924869999999899</v>
      </c>
      <c r="O9">
        <v>-5.4112770000000001</v>
      </c>
      <c r="P9">
        <v>45878.986805555556</v>
      </c>
      <c r="Q9" s="6">
        <v>51.715279502977822</v>
      </c>
      <c r="R9" s="6">
        <f t="shared" si="1"/>
        <v>16.015121949206328</v>
      </c>
      <c r="S9" s="6" t="e">
        <f t="shared" si="2"/>
        <v>#VALUE!</v>
      </c>
      <c r="T9">
        <v>583</v>
      </c>
      <c r="U9" s="7">
        <v>67</v>
      </c>
      <c r="V9">
        <v>130</v>
      </c>
      <c r="W9">
        <v>13</v>
      </c>
      <c r="X9">
        <v>0</v>
      </c>
      <c r="Y9">
        <v>0</v>
      </c>
      <c r="Z9">
        <v>0</v>
      </c>
      <c r="AA9">
        <v>-16</v>
      </c>
      <c r="AB9">
        <v>-362</v>
      </c>
      <c r="AC9">
        <v>153</v>
      </c>
      <c r="AD9">
        <v>55.86958549999995</v>
      </c>
      <c r="AE9">
        <v>-5.3144395000000006</v>
      </c>
    </row>
    <row r="10" spans="1:31" x14ac:dyDescent="0.35">
      <c r="A10">
        <v>373489</v>
      </c>
      <c r="B10" s="2">
        <v>45878.972916666666</v>
      </c>
      <c r="C10" s="3">
        <v>45878</v>
      </c>
      <c r="D10" s="4">
        <v>0.97346064814814814</v>
      </c>
      <c r="E10">
        <v>0.97346064814814814</v>
      </c>
      <c r="F10" t="s">
        <v>31</v>
      </c>
      <c r="G10">
        <v>7</v>
      </c>
      <c r="H10">
        <v>3956</v>
      </c>
      <c r="I10">
        <v>68</v>
      </c>
      <c r="J10">
        <v>0</v>
      </c>
      <c r="K10">
        <v>2</v>
      </c>
      <c r="L10">
        <v>0.97291666666569654</v>
      </c>
      <c r="M10">
        <f t="shared" si="0"/>
        <v>0.945486111115315</v>
      </c>
      <c r="N10" s="5">
        <v>56.035122000000001</v>
      </c>
      <c r="O10">
        <v>-5.5769190000000002</v>
      </c>
      <c r="P10">
        <v>45878.972916666666</v>
      </c>
      <c r="Q10" s="6">
        <v>48.045365842025767</v>
      </c>
      <c r="R10" s="6">
        <f t="shared" si="1"/>
        <v>68.647781325397062</v>
      </c>
      <c r="S10" s="6" t="e">
        <f t="shared" si="2"/>
        <v>#VALUE!</v>
      </c>
      <c r="T10">
        <v>250</v>
      </c>
      <c r="U10" s="7">
        <v>53</v>
      </c>
      <c r="V10">
        <v>139</v>
      </c>
      <c r="W10">
        <v>13</v>
      </c>
      <c r="X10">
        <v>0</v>
      </c>
      <c r="Y10">
        <v>0</v>
      </c>
      <c r="Z10">
        <v>0</v>
      </c>
      <c r="AA10">
        <v>-759</v>
      </c>
      <c r="AB10">
        <v>-757</v>
      </c>
      <c r="AC10">
        <v>553</v>
      </c>
      <c r="AD10">
        <v>55.97999599999995</v>
      </c>
      <c r="AE10">
        <v>-5.4940980000000001</v>
      </c>
    </row>
    <row r="11" spans="1:31" x14ac:dyDescent="0.35">
      <c r="A11">
        <v>373489</v>
      </c>
      <c r="B11" s="2">
        <v>45878.918055555558</v>
      </c>
      <c r="C11" s="3">
        <v>45878</v>
      </c>
      <c r="D11" s="4">
        <v>0.91848379629629628</v>
      </c>
      <c r="E11">
        <v>0.91848379629629628</v>
      </c>
      <c r="F11" t="s">
        <v>31</v>
      </c>
      <c r="G11">
        <v>4</v>
      </c>
      <c r="H11">
        <v>3961</v>
      </c>
      <c r="I11">
        <v>69</v>
      </c>
      <c r="J11">
        <v>0</v>
      </c>
      <c r="K11">
        <v>5.7</v>
      </c>
      <c r="L11">
        <v>0.9180555555576575</v>
      </c>
      <c r="M11">
        <f t="shared" si="0"/>
        <v>0.98020833333430346</v>
      </c>
      <c r="N11" s="5">
        <v>56.478499999999897</v>
      </c>
      <c r="O11">
        <v>-6.3503319999999999</v>
      </c>
      <c r="P11">
        <v>45878.918055555558</v>
      </c>
      <c r="Q11" s="6">
        <v>41.90977545522825</v>
      </c>
      <c r="R11" s="6">
        <f t="shared" si="1"/>
        <v>156.22478404985014</v>
      </c>
      <c r="S11" s="6" t="e">
        <f t="shared" si="2"/>
        <v>#VALUE!</v>
      </c>
      <c r="T11">
        <v>-563</v>
      </c>
      <c r="U11" s="7">
        <v>55</v>
      </c>
      <c r="V11">
        <v>120</v>
      </c>
      <c r="W11">
        <v>15</v>
      </c>
      <c r="X11">
        <v>0</v>
      </c>
      <c r="Y11">
        <v>0</v>
      </c>
      <c r="Z11">
        <v>0</v>
      </c>
      <c r="AA11">
        <v>-209</v>
      </c>
      <c r="AB11">
        <v>-485</v>
      </c>
      <c r="AC11">
        <v>2047</v>
      </c>
      <c r="AD11">
        <v>56.437158499999953</v>
      </c>
      <c r="AE11">
        <v>-6.2724869999999999</v>
      </c>
    </row>
    <row r="12" spans="1:31" x14ac:dyDescent="0.35">
      <c r="A12">
        <v>373489</v>
      </c>
      <c r="B12" s="2">
        <v>45879.042361111111</v>
      </c>
      <c r="C12" s="3">
        <v>45879</v>
      </c>
      <c r="D12" s="4">
        <v>4.2627314814814812E-2</v>
      </c>
      <c r="E12">
        <v>4.2627314814814812E-2</v>
      </c>
      <c r="F12" t="s">
        <v>31</v>
      </c>
      <c r="G12">
        <v>5</v>
      </c>
      <c r="H12">
        <v>3944</v>
      </c>
      <c r="I12">
        <v>66</v>
      </c>
      <c r="J12">
        <v>0</v>
      </c>
      <c r="K12">
        <v>1.6</v>
      </c>
      <c r="L12">
        <v>4.2361111110949423E-2</v>
      </c>
      <c r="M12">
        <f t="shared" si="0"/>
        <v>6.3194444446708076E-2</v>
      </c>
      <c r="N12" s="5">
        <v>55.428238</v>
      </c>
      <c r="O12">
        <v>-4.6832830000000003</v>
      </c>
      <c r="P12">
        <v>45879.042361111111</v>
      </c>
      <c r="Q12" s="6">
        <v>29.107002159340539</v>
      </c>
      <c r="R12" s="6">
        <f t="shared" si="1"/>
        <v>10.188117344827692</v>
      </c>
      <c r="S12" s="6" t="e">
        <f t="shared" si="2"/>
        <v>#VALUE!</v>
      </c>
      <c r="T12">
        <v>281</v>
      </c>
      <c r="U12" s="7">
        <v>52</v>
      </c>
      <c r="V12">
        <v>130</v>
      </c>
      <c r="W12">
        <v>13</v>
      </c>
      <c r="X12">
        <v>0</v>
      </c>
      <c r="Y12">
        <v>0</v>
      </c>
      <c r="Z12">
        <v>0</v>
      </c>
      <c r="AA12">
        <v>-644</v>
      </c>
      <c r="AB12">
        <v>-267</v>
      </c>
      <c r="AC12">
        <v>1880</v>
      </c>
      <c r="AD12">
        <v>55.385568500000005</v>
      </c>
      <c r="AE12">
        <v>-4.7126230000000007</v>
      </c>
    </row>
    <row r="13" spans="1:31" x14ac:dyDescent="0.35">
      <c r="A13">
        <v>373489</v>
      </c>
      <c r="B13" s="2">
        <v>45879.084027777775</v>
      </c>
      <c r="C13" s="3">
        <v>45879</v>
      </c>
      <c r="D13" s="4">
        <v>8.4224537037037042E-2</v>
      </c>
      <c r="E13">
        <v>8.4224537037037042E-2</v>
      </c>
      <c r="F13" t="s">
        <v>31</v>
      </c>
      <c r="G13">
        <v>8</v>
      </c>
      <c r="H13">
        <v>3938</v>
      </c>
      <c r="I13">
        <v>65</v>
      </c>
      <c r="J13">
        <v>0</v>
      </c>
      <c r="K13">
        <v>1</v>
      </c>
      <c r="L13">
        <v>8.4027777775190771E-2</v>
      </c>
      <c r="M13">
        <f t="shared" si="0"/>
        <v>0.98680555555620231</v>
      </c>
      <c r="N13" s="5">
        <v>55.342899000000003</v>
      </c>
      <c r="O13">
        <v>-4.7419919999999998</v>
      </c>
      <c r="P13">
        <v>45879.084027777775</v>
      </c>
      <c r="Q13" s="6">
        <v>21.010245810914885</v>
      </c>
      <c r="R13" s="6">
        <f t="shared" si="1"/>
        <v>181.68588270853593</v>
      </c>
      <c r="S13" s="6" t="e">
        <f t="shared" si="2"/>
        <v>#VALUE!</v>
      </c>
      <c r="T13">
        <v>142</v>
      </c>
      <c r="U13">
        <v>0</v>
      </c>
      <c r="V13">
        <v>0</v>
      </c>
      <c r="W13">
        <v>17</v>
      </c>
      <c r="X13">
        <v>0</v>
      </c>
      <c r="Y13">
        <v>0</v>
      </c>
      <c r="Z13">
        <v>0</v>
      </c>
      <c r="AA13">
        <v>-152</v>
      </c>
      <c r="AB13">
        <v>-378</v>
      </c>
      <c r="AC13">
        <v>848</v>
      </c>
      <c r="AD13">
        <v>55.32428349999995</v>
      </c>
      <c r="AE13">
        <v>-4.7866379999999999</v>
      </c>
    </row>
    <row r="14" spans="1:31" x14ac:dyDescent="0.35">
      <c r="A14">
        <v>373489</v>
      </c>
      <c r="B14" s="2">
        <v>45878.88958333333</v>
      </c>
      <c r="C14" s="3">
        <v>45878</v>
      </c>
      <c r="D14" s="4">
        <v>0.88976851851851857</v>
      </c>
      <c r="E14">
        <v>0.88976851851851857</v>
      </c>
      <c r="F14" t="s">
        <v>31</v>
      </c>
      <c r="G14">
        <v>6</v>
      </c>
      <c r="H14">
        <v>3964</v>
      </c>
      <c r="I14">
        <v>69</v>
      </c>
      <c r="J14">
        <v>0</v>
      </c>
      <c r="K14">
        <v>1.5</v>
      </c>
      <c r="L14">
        <v>0.88958333332993789</v>
      </c>
      <c r="M14">
        <f t="shared" si="0"/>
        <v>0.99374999999417923</v>
      </c>
      <c r="N14" s="5">
        <v>56.584845999999899</v>
      </c>
      <c r="O14">
        <v>-6.6392920000000002</v>
      </c>
      <c r="P14">
        <v>45878.88958333333</v>
      </c>
      <c r="Q14" s="6">
        <v>5.8633502981015253</v>
      </c>
      <c r="R14" s="6">
        <f t="shared" si="1"/>
        <v>181.38700375432416</v>
      </c>
      <c r="S14" s="6" t="e">
        <f t="shared" si="2"/>
        <v>#VALUE!</v>
      </c>
      <c r="T14">
        <v>11</v>
      </c>
      <c r="U14">
        <v>0</v>
      </c>
      <c r="V14">
        <v>18</v>
      </c>
      <c r="W14">
        <v>16</v>
      </c>
      <c r="X14">
        <v>0</v>
      </c>
      <c r="Y14">
        <v>0</v>
      </c>
      <c r="Z14">
        <v>0</v>
      </c>
      <c r="AA14">
        <v>-193</v>
      </c>
      <c r="AB14">
        <v>-278</v>
      </c>
      <c r="AC14">
        <v>994</v>
      </c>
      <c r="AD14">
        <v>56.579411999999898</v>
      </c>
      <c r="AE14">
        <v>-6.6267515000000001</v>
      </c>
    </row>
    <row r="15" spans="1:31" x14ac:dyDescent="0.35">
      <c r="A15">
        <v>373489</v>
      </c>
      <c r="B15" s="2">
        <v>45879.097916666666</v>
      </c>
      <c r="C15" s="3">
        <v>45879</v>
      </c>
      <c r="D15" s="4">
        <v>9.8090277777777776E-2</v>
      </c>
      <c r="E15">
        <v>9.8090277777777776E-2</v>
      </c>
      <c r="F15" t="s">
        <v>31</v>
      </c>
      <c r="G15">
        <v>7</v>
      </c>
      <c r="H15">
        <v>3938</v>
      </c>
      <c r="I15">
        <v>65</v>
      </c>
      <c r="J15">
        <v>0</v>
      </c>
      <c r="K15">
        <v>1.8</v>
      </c>
      <c r="L15">
        <v>9.7916666665696539E-2</v>
      </c>
      <c r="M15">
        <f t="shared" si="0"/>
        <v>0.49722222222044365</v>
      </c>
      <c r="N15" s="5">
        <v>55.305667999999898</v>
      </c>
      <c r="O15">
        <v>-4.8312840000000001</v>
      </c>
      <c r="P15">
        <v>45879.097916666666</v>
      </c>
      <c r="Q15" s="6">
        <v>4.3594965036487663</v>
      </c>
      <c r="R15" s="6">
        <f t="shared" si="1"/>
        <v>181.37226658535658</v>
      </c>
      <c r="S15" s="6" t="e">
        <f t="shared" si="2"/>
        <v>#VALUE!</v>
      </c>
      <c r="T15">
        <v>80</v>
      </c>
      <c r="U15" s="7">
        <v>48</v>
      </c>
      <c r="V15">
        <v>132</v>
      </c>
      <c r="W15">
        <v>15</v>
      </c>
      <c r="X15">
        <v>0</v>
      </c>
      <c r="Y15">
        <v>0</v>
      </c>
      <c r="Z15">
        <v>0</v>
      </c>
      <c r="AA15">
        <v>307</v>
      </c>
      <c r="AB15">
        <v>606</v>
      </c>
      <c r="AC15">
        <v>606</v>
      </c>
      <c r="AD15">
        <v>55.299609999999902</v>
      </c>
      <c r="AE15">
        <v>-4.8269820000000001</v>
      </c>
    </row>
    <row r="16" spans="1:31" x14ac:dyDescent="0.35">
      <c r="A16">
        <v>373489</v>
      </c>
      <c r="B16" s="2">
        <v>45877.896527777775</v>
      </c>
      <c r="C16" s="3">
        <v>45877</v>
      </c>
      <c r="D16" s="4">
        <v>0.89670138888888884</v>
      </c>
      <c r="E16">
        <v>0.89670138888888884</v>
      </c>
      <c r="F16" t="s">
        <v>31</v>
      </c>
      <c r="G16">
        <v>7</v>
      </c>
      <c r="H16">
        <v>3984</v>
      </c>
      <c r="I16">
        <v>72</v>
      </c>
      <c r="J16">
        <v>0</v>
      </c>
      <c r="K16">
        <v>1</v>
      </c>
      <c r="L16">
        <v>0.89652777777519077</v>
      </c>
      <c r="M16">
        <f t="shared" si="0"/>
        <v>0.24374999999417923</v>
      </c>
      <c r="N16" s="5">
        <v>56.585121000000001</v>
      </c>
      <c r="O16">
        <v>-6.6382960000000004</v>
      </c>
      <c r="P16">
        <v>45877.896527777775</v>
      </c>
      <c r="Q16" s="6">
        <v>0.35021924359748496</v>
      </c>
      <c r="R16" s="6">
        <f t="shared" si="1"/>
        <v>8.4654611013192646E-2</v>
      </c>
      <c r="S16" s="6" t="e">
        <f t="shared" si="2"/>
        <v>#VALUE!</v>
      </c>
      <c r="T16">
        <v>18</v>
      </c>
      <c r="U16">
        <v>0</v>
      </c>
      <c r="V16">
        <v>333</v>
      </c>
      <c r="W16">
        <v>17</v>
      </c>
      <c r="X16">
        <v>0</v>
      </c>
      <c r="Y16">
        <v>0</v>
      </c>
      <c r="Z16">
        <v>0</v>
      </c>
      <c r="AA16">
        <v>-228</v>
      </c>
      <c r="AB16">
        <v>-204</v>
      </c>
      <c r="AC16">
        <v>990</v>
      </c>
      <c r="AD16">
        <v>56.584666999999953</v>
      </c>
      <c r="AE16">
        <v>-6.6378175000000006</v>
      </c>
    </row>
    <row r="17" spans="1:31" x14ac:dyDescent="0.35">
      <c r="A17">
        <v>373489</v>
      </c>
      <c r="B17" s="2">
        <v>45876.59097222222</v>
      </c>
      <c r="C17" s="3">
        <v>45876</v>
      </c>
      <c r="D17" s="4">
        <v>0.59160879629629626</v>
      </c>
      <c r="E17">
        <v>0.59160879629629626</v>
      </c>
      <c r="F17" t="s">
        <v>31</v>
      </c>
      <c r="G17">
        <v>6</v>
      </c>
      <c r="H17">
        <v>4180</v>
      </c>
      <c r="I17">
        <v>100</v>
      </c>
      <c r="J17">
        <v>0</v>
      </c>
      <c r="K17">
        <v>1.3</v>
      </c>
      <c r="L17">
        <v>0.59097222222044365</v>
      </c>
      <c r="M17">
        <f t="shared" si="0"/>
        <v>0.25069444444670808</v>
      </c>
      <c r="N17" s="5">
        <v>56.584957000000003</v>
      </c>
      <c r="O17">
        <v>-6.6396459999999999</v>
      </c>
      <c r="P17">
        <v>45876.59097222222</v>
      </c>
      <c r="Q17" s="6">
        <v>0.33763448693314679</v>
      </c>
      <c r="R17" s="6">
        <f t="shared" si="1"/>
        <v>0.16371157356152125</v>
      </c>
      <c r="S17" s="6" t="e">
        <f t="shared" si="2"/>
        <v>#VALUE!</v>
      </c>
      <c r="T17">
        <v>1</v>
      </c>
      <c r="U17">
        <v>0</v>
      </c>
      <c r="V17">
        <v>0</v>
      </c>
      <c r="W17">
        <v>21</v>
      </c>
      <c r="X17">
        <v>0</v>
      </c>
      <c r="Y17">
        <v>0</v>
      </c>
      <c r="Z17">
        <v>0</v>
      </c>
      <c r="AA17">
        <v>53</v>
      </c>
      <c r="AB17">
        <v>67</v>
      </c>
      <c r="AC17">
        <v>1067</v>
      </c>
      <c r="AD17">
        <v>56.585054499999998</v>
      </c>
      <c r="AE17">
        <v>-6.6392220000000002</v>
      </c>
    </row>
    <row r="18" spans="1:31" x14ac:dyDescent="0.35">
      <c r="A18">
        <v>373489</v>
      </c>
      <c r="B18" s="2">
        <v>45877.910416666666</v>
      </c>
      <c r="C18" s="3">
        <v>45877</v>
      </c>
      <c r="D18" s="4">
        <v>0.91060185185185183</v>
      </c>
      <c r="E18">
        <v>0.91060185185185183</v>
      </c>
      <c r="F18" t="s">
        <v>31</v>
      </c>
      <c r="G18">
        <v>5</v>
      </c>
      <c r="H18">
        <v>3984</v>
      </c>
      <c r="I18">
        <v>72</v>
      </c>
      <c r="J18">
        <v>0</v>
      </c>
      <c r="K18">
        <v>1.4</v>
      </c>
      <c r="L18">
        <v>0.91041666666569654</v>
      </c>
      <c r="M18">
        <f t="shared" si="0"/>
        <v>0.69861111111094942</v>
      </c>
      <c r="N18" s="5">
        <v>56.584212999999899</v>
      </c>
      <c r="O18">
        <v>-6.6373389999999999</v>
      </c>
      <c r="P18">
        <v>45877.910416666666</v>
      </c>
      <c r="Q18" s="6">
        <v>0.22835591099934738</v>
      </c>
      <c r="R18" s="6">
        <f t="shared" si="1"/>
        <v>0.12103238260303073</v>
      </c>
      <c r="S18" s="6" t="e">
        <f t="shared" si="2"/>
        <v>#VALUE!</v>
      </c>
      <c r="T18">
        <v>9</v>
      </c>
      <c r="U18">
        <v>0</v>
      </c>
      <c r="V18">
        <v>0</v>
      </c>
      <c r="W18">
        <v>16</v>
      </c>
      <c r="X18">
        <v>0</v>
      </c>
      <c r="Y18">
        <v>0</v>
      </c>
      <c r="Z18">
        <v>0</v>
      </c>
      <c r="AA18">
        <v>-204</v>
      </c>
      <c r="AB18">
        <v>-214</v>
      </c>
      <c r="AC18">
        <v>1018</v>
      </c>
      <c r="AD18">
        <v>56.584136999999899</v>
      </c>
      <c r="AE18">
        <v>-6.6379450000000002</v>
      </c>
    </row>
    <row r="19" spans="1:31" x14ac:dyDescent="0.35">
      <c r="A19">
        <v>373489</v>
      </c>
      <c r="B19" s="2">
        <v>45877.486805555556</v>
      </c>
      <c r="C19" s="3">
        <v>45877</v>
      </c>
      <c r="D19" s="4">
        <v>0.48700231481481482</v>
      </c>
      <c r="E19">
        <v>0.48700231481481482</v>
      </c>
      <c r="F19" t="s">
        <v>31</v>
      </c>
      <c r="G19">
        <v>7</v>
      </c>
      <c r="H19">
        <v>4032</v>
      </c>
      <c r="I19">
        <v>80</v>
      </c>
      <c r="J19">
        <v>0</v>
      </c>
      <c r="K19">
        <v>1.4</v>
      </c>
      <c r="L19">
        <v>0.48680555555620231</v>
      </c>
      <c r="M19">
        <f t="shared" si="0"/>
        <v>0.82361111111094942</v>
      </c>
      <c r="N19" s="5">
        <v>56.585144</v>
      </c>
      <c r="O19">
        <v>-6.638363</v>
      </c>
      <c r="P19">
        <v>45877.486805555556</v>
      </c>
      <c r="Q19" s="6">
        <v>0.11670941159646774</v>
      </c>
      <c r="R19" s="6">
        <f t="shared" si="1"/>
        <v>0.14062182621496144</v>
      </c>
      <c r="S19" s="6" t="e">
        <f t="shared" si="2"/>
        <v>#VALUE!</v>
      </c>
      <c r="T19">
        <v>8</v>
      </c>
      <c r="U19">
        <v>0</v>
      </c>
      <c r="V19">
        <v>0</v>
      </c>
      <c r="W19">
        <v>19</v>
      </c>
      <c r="X19">
        <v>0</v>
      </c>
      <c r="Y19">
        <v>0</v>
      </c>
      <c r="Z19">
        <v>0</v>
      </c>
      <c r="AA19">
        <v>-187</v>
      </c>
      <c r="AB19">
        <v>-110</v>
      </c>
      <c r="AC19">
        <v>1032</v>
      </c>
      <c r="AD19">
        <v>56.585220499999949</v>
      </c>
      <c r="AE19">
        <v>-6.6384400000000001</v>
      </c>
    </row>
    <row r="20" spans="1:31" x14ac:dyDescent="0.35">
      <c r="A20">
        <v>373489</v>
      </c>
      <c r="B20" s="2">
        <v>45878.160416666666</v>
      </c>
      <c r="C20" s="3">
        <v>45878</v>
      </c>
      <c r="D20" s="4">
        <v>0.16096064814814814</v>
      </c>
      <c r="E20">
        <v>0.16096064814814814</v>
      </c>
      <c r="F20" t="s">
        <v>31</v>
      </c>
      <c r="G20">
        <v>10</v>
      </c>
      <c r="H20">
        <v>3967</v>
      </c>
      <c r="I20">
        <v>70</v>
      </c>
      <c r="J20">
        <v>0</v>
      </c>
      <c r="K20">
        <v>1</v>
      </c>
      <c r="L20">
        <v>0.16041666666569654</v>
      </c>
      <c r="M20">
        <f t="shared" si="0"/>
        <v>0.77152777777519077</v>
      </c>
      <c r="N20" s="5">
        <v>56.583880999999899</v>
      </c>
      <c r="O20">
        <v>-6.6384800000000004</v>
      </c>
      <c r="P20">
        <v>45878.160416666666</v>
      </c>
      <c r="Q20" s="6">
        <v>0.10751068846488367</v>
      </c>
      <c r="R20" s="6">
        <f t="shared" si="1"/>
        <v>0.15278724096423035</v>
      </c>
      <c r="S20" s="6" t="e">
        <f t="shared" si="2"/>
        <v>#VALUE!</v>
      </c>
      <c r="T20">
        <v>13</v>
      </c>
      <c r="U20">
        <v>0</v>
      </c>
      <c r="V20">
        <v>208</v>
      </c>
      <c r="W20">
        <v>14</v>
      </c>
      <c r="X20">
        <v>0</v>
      </c>
      <c r="Y20">
        <v>0</v>
      </c>
      <c r="Z20">
        <v>0</v>
      </c>
      <c r="AA20">
        <v>-213</v>
      </c>
      <c r="AB20">
        <v>-480</v>
      </c>
      <c r="AC20">
        <v>921</v>
      </c>
      <c r="AD20">
        <v>56.583993499999899</v>
      </c>
      <c r="AE20">
        <v>-6.6386894999999999</v>
      </c>
    </row>
    <row r="21" spans="1:31" x14ac:dyDescent="0.35">
      <c r="A21">
        <v>373489</v>
      </c>
      <c r="B21" s="2">
        <v>45877.382638888892</v>
      </c>
      <c r="C21" s="3">
        <v>45877</v>
      </c>
      <c r="D21" s="4">
        <v>0.38285879629629632</v>
      </c>
      <c r="E21">
        <v>0.38285879629629632</v>
      </c>
      <c r="F21" t="s">
        <v>31</v>
      </c>
      <c r="G21">
        <v>5</v>
      </c>
      <c r="H21">
        <v>4058</v>
      </c>
      <c r="I21">
        <v>85</v>
      </c>
      <c r="J21">
        <v>0</v>
      </c>
      <c r="K21">
        <v>1.6</v>
      </c>
      <c r="L21">
        <v>0.38263888889196096</v>
      </c>
      <c r="M21">
        <f t="shared" si="0"/>
        <v>0.38611111111094942</v>
      </c>
      <c r="N21" s="5">
        <v>56.585254999999897</v>
      </c>
      <c r="O21">
        <v>-6.6384590000000001</v>
      </c>
      <c r="P21">
        <v>45877.382638888892</v>
      </c>
      <c r="Q21" s="6">
        <v>0.10059882233875417</v>
      </c>
      <c r="R21" s="6">
        <f t="shared" si="1"/>
        <v>1.6766470374177368E-2</v>
      </c>
      <c r="S21" s="6" t="e">
        <f t="shared" si="2"/>
        <v>#VALUE!</v>
      </c>
      <c r="T21">
        <v>11</v>
      </c>
      <c r="U21">
        <v>0</v>
      </c>
      <c r="V21">
        <v>0</v>
      </c>
      <c r="W21">
        <v>18</v>
      </c>
      <c r="X21">
        <v>0</v>
      </c>
      <c r="Y21">
        <v>0</v>
      </c>
      <c r="Z21">
        <v>0</v>
      </c>
      <c r="AA21">
        <v>-238</v>
      </c>
      <c r="AB21">
        <v>-110</v>
      </c>
      <c r="AC21">
        <v>1036</v>
      </c>
      <c r="AD21">
        <v>56.58518049999995</v>
      </c>
      <c r="AE21">
        <v>-6.6384799999999995</v>
      </c>
    </row>
    <row r="22" spans="1:31" x14ac:dyDescent="0.35">
      <c r="A22">
        <v>373489</v>
      </c>
      <c r="B22" s="2">
        <v>45877.38958333333</v>
      </c>
      <c r="C22" s="3">
        <v>45877</v>
      </c>
      <c r="D22" s="4">
        <v>0.38982638888888888</v>
      </c>
      <c r="E22">
        <v>0.38982638888888888</v>
      </c>
      <c r="F22" t="s">
        <v>31</v>
      </c>
      <c r="G22">
        <v>5</v>
      </c>
      <c r="H22">
        <v>4058</v>
      </c>
      <c r="I22">
        <v>85</v>
      </c>
      <c r="J22">
        <v>0</v>
      </c>
      <c r="K22">
        <v>1.5</v>
      </c>
      <c r="L22">
        <v>0.38958333332993789</v>
      </c>
      <c r="M22">
        <f t="shared" si="0"/>
        <v>0.87222222222044365</v>
      </c>
      <c r="N22" s="5">
        <v>56.585106000000003</v>
      </c>
      <c r="O22">
        <v>-6.6385009999999998</v>
      </c>
      <c r="P22">
        <v>45877.38958333333</v>
      </c>
      <c r="Q22" s="6">
        <v>9.9353234403190091E-2</v>
      </c>
      <c r="R22" s="6">
        <f t="shared" si="1"/>
        <v>7.3429516183106391E-2</v>
      </c>
      <c r="S22" s="6" t="e">
        <f t="shared" si="2"/>
        <v>#VALUE!</v>
      </c>
      <c r="T22">
        <v>26</v>
      </c>
      <c r="U22">
        <v>1</v>
      </c>
      <c r="V22">
        <v>194</v>
      </c>
      <c r="W22">
        <v>18</v>
      </c>
      <c r="X22">
        <v>0</v>
      </c>
      <c r="Y22">
        <v>0</v>
      </c>
      <c r="Z22">
        <v>0</v>
      </c>
      <c r="AA22">
        <v>-174</v>
      </c>
      <c r="AB22">
        <v>-285</v>
      </c>
      <c r="AC22">
        <v>1018</v>
      </c>
      <c r="AD22">
        <v>56.585176500000003</v>
      </c>
      <c r="AE22">
        <v>-6.6384574999999995</v>
      </c>
    </row>
    <row r="23" spans="1:31" x14ac:dyDescent="0.35">
      <c r="A23">
        <v>373489</v>
      </c>
      <c r="B23" s="2">
        <v>45878.354861111111</v>
      </c>
      <c r="C23" s="3">
        <v>45878</v>
      </c>
      <c r="D23" s="4">
        <v>0.35501157407407408</v>
      </c>
      <c r="E23">
        <v>0.35501157407407408</v>
      </c>
      <c r="F23" t="s">
        <v>31</v>
      </c>
      <c r="G23">
        <v>8</v>
      </c>
      <c r="H23">
        <v>3964</v>
      </c>
      <c r="I23">
        <v>69</v>
      </c>
      <c r="J23">
        <v>1</v>
      </c>
      <c r="K23">
        <v>1.7</v>
      </c>
      <c r="L23">
        <v>0.35486111111094942</v>
      </c>
      <c r="M23">
        <f t="shared" si="0"/>
        <v>0.26458333333721384</v>
      </c>
      <c r="N23" s="5">
        <v>56.584515000000003</v>
      </c>
      <c r="O23">
        <v>-6.6390359999999999</v>
      </c>
      <c r="P23">
        <v>45878.354861111111</v>
      </c>
      <c r="Q23" s="6">
        <v>9.9325066868181183E-2</v>
      </c>
      <c r="R23" s="6">
        <f t="shared" si="1"/>
        <v>4.624603238747553E-2</v>
      </c>
      <c r="S23" s="6" t="e">
        <f t="shared" si="2"/>
        <v>#VALUE!</v>
      </c>
      <c r="T23">
        <v>8</v>
      </c>
      <c r="U23">
        <v>0</v>
      </c>
      <c r="V23">
        <v>0</v>
      </c>
      <c r="W23">
        <v>20</v>
      </c>
      <c r="X23">
        <v>0</v>
      </c>
      <c r="Y23">
        <v>0</v>
      </c>
      <c r="Z23">
        <v>0</v>
      </c>
      <c r="AA23">
        <v>-632</v>
      </c>
      <c r="AB23">
        <v>-92</v>
      </c>
      <c r="AC23">
        <v>1002</v>
      </c>
      <c r="AD23">
        <v>56.584635000000006</v>
      </c>
      <c r="AE23">
        <v>-6.6391960000000001</v>
      </c>
    </row>
    <row r="24" spans="1:31" x14ac:dyDescent="0.35">
      <c r="A24">
        <v>373489</v>
      </c>
      <c r="B24" s="2">
        <v>45878.174305555556</v>
      </c>
      <c r="C24" s="3">
        <v>45878</v>
      </c>
      <c r="D24" s="4">
        <v>0.17446759259259259</v>
      </c>
      <c r="E24">
        <v>0.17446759259259259</v>
      </c>
      <c r="F24" t="s">
        <v>31</v>
      </c>
      <c r="G24">
        <v>9</v>
      </c>
      <c r="H24">
        <v>3961</v>
      </c>
      <c r="I24">
        <v>69</v>
      </c>
      <c r="J24">
        <v>0</v>
      </c>
      <c r="K24">
        <v>1</v>
      </c>
      <c r="L24">
        <v>0.17430555555620231</v>
      </c>
      <c r="M24">
        <f t="shared" si="0"/>
        <v>0.68819444444670808</v>
      </c>
      <c r="N24" s="5">
        <v>56.584105999999899</v>
      </c>
      <c r="O24">
        <v>-6.6388990000000003</v>
      </c>
      <c r="P24">
        <v>45878.174305555556</v>
      </c>
      <c r="Q24" s="6">
        <v>9.8941832961705556E-2</v>
      </c>
      <c r="R24" s="6">
        <f t="shared" si="1"/>
        <v>0.1393943983305638</v>
      </c>
      <c r="S24" s="6" t="e">
        <f t="shared" si="2"/>
        <v>#VALUE!</v>
      </c>
      <c r="T24">
        <v>7</v>
      </c>
      <c r="U24">
        <v>0</v>
      </c>
      <c r="V24">
        <v>0</v>
      </c>
      <c r="W24">
        <v>12</v>
      </c>
      <c r="X24">
        <v>0</v>
      </c>
      <c r="Y24">
        <v>0</v>
      </c>
      <c r="Z24">
        <v>0</v>
      </c>
      <c r="AA24">
        <v>-146</v>
      </c>
      <c r="AB24">
        <v>291</v>
      </c>
      <c r="AC24">
        <v>958</v>
      </c>
      <c r="AD24">
        <v>56.584250999999895</v>
      </c>
      <c r="AE24">
        <v>-6.6389554999999998</v>
      </c>
    </row>
    <row r="25" spans="1:31" x14ac:dyDescent="0.35">
      <c r="A25">
        <v>373489</v>
      </c>
      <c r="B25" s="2">
        <v>45877.20208333333</v>
      </c>
      <c r="C25" s="3">
        <v>45877</v>
      </c>
      <c r="D25" s="4">
        <v>0.20246527777777779</v>
      </c>
      <c r="E25">
        <v>0.20246527777777779</v>
      </c>
      <c r="F25" t="s">
        <v>31</v>
      </c>
      <c r="G25">
        <v>7</v>
      </c>
      <c r="H25">
        <v>4086</v>
      </c>
      <c r="I25">
        <v>89</v>
      </c>
      <c r="J25">
        <v>0</v>
      </c>
      <c r="K25">
        <v>1.6</v>
      </c>
      <c r="L25">
        <v>0.20208333332993789</v>
      </c>
      <c r="M25">
        <f t="shared" si="0"/>
        <v>0.89999999999417923</v>
      </c>
      <c r="N25" s="5">
        <v>56.585354000000002</v>
      </c>
      <c r="O25">
        <v>-6.6386839999999996</v>
      </c>
      <c r="P25">
        <v>45877.20208333333</v>
      </c>
      <c r="Q25" s="6">
        <v>9.6382140472836761E-2</v>
      </c>
      <c r="R25" s="6">
        <f t="shared" si="1"/>
        <v>2.3521141520931651E-2</v>
      </c>
      <c r="S25" s="6" t="e">
        <f t="shared" si="2"/>
        <v>#VALUE!</v>
      </c>
      <c r="T25">
        <v>17</v>
      </c>
      <c r="U25">
        <v>1</v>
      </c>
      <c r="V25">
        <v>105</v>
      </c>
      <c r="W25">
        <v>15</v>
      </c>
      <c r="X25">
        <v>0</v>
      </c>
      <c r="Y25">
        <v>0</v>
      </c>
      <c r="Z25">
        <v>0</v>
      </c>
      <c r="AA25">
        <v>581</v>
      </c>
      <c r="AB25">
        <v>-410</v>
      </c>
      <c r="AC25">
        <v>961</v>
      </c>
      <c r="AD25">
        <v>56.585374999999999</v>
      </c>
      <c r="AE25">
        <v>-6.6385585000000003</v>
      </c>
    </row>
    <row r="26" spans="1:31" x14ac:dyDescent="0.35">
      <c r="A26">
        <v>373489</v>
      </c>
      <c r="B26" s="2">
        <v>45876.597916666666</v>
      </c>
      <c r="C26" s="3">
        <v>45876</v>
      </c>
      <c r="D26" s="4">
        <v>0.59812500000000002</v>
      </c>
      <c r="E26">
        <v>0.59812500000000002</v>
      </c>
      <c r="F26" t="s">
        <v>31</v>
      </c>
      <c r="G26">
        <v>5</v>
      </c>
      <c r="H26">
        <v>4174</v>
      </c>
      <c r="I26">
        <v>100</v>
      </c>
      <c r="J26">
        <v>0</v>
      </c>
      <c r="K26">
        <v>1.4</v>
      </c>
      <c r="L26">
        <v>0.59791666666569654</v>
      </c>
      <c r="M26">
        <f t="shared" si="0"/>
        <v>0.90694444444670808</v>
      </c>
      <c r="N26" s="5">
        <v>56.585152000000001</v>
      </c>
      <c r="O26">
        <v>-6.6387980000000004</v>
      </c>
      <c r="P26">
        <v>45876.597916666666</v>
      </c>
      <c r="Q26" s="6">
        <v>9.059223191321282E-2</v>
      </c>
      <c r="R26" s="6">
        <f t="shared" si="1"/>
        <v>3.7326137321243701E-2</v>
      </c>
      <c r="S26" s="6" t="e">
        <f t="shared" si="2"/>
        <v>#VALUE!</v>
      </c>
      <c r="T26">
        <v>16</v>
      </c>
      <c r="U26">
        <v>1</v>
      </c>
      <c r="V26">
        <v>291</v>
      </c>
      <c r="W26">
        <v>27</v>
      </c>
      <c r="X26">
        <v>0</v>
      </c>
      <c r="Y26">
        <v>0</v>
      </c>
      <c r="Z26">
        <v>0</v>
      </c>
      <c r="AA26">
        <v>165</v>
      </c>
      <c r="AB26">
        <v>207</v>
      </c>
      <c r="AC26">
        <v>1579</v>
      </c>
      <c r="AD26">
        <v>56.585211000000001</v>
      </c>
      <c r="AE26">
        <v>-6.6387370000000008</v>
      </c>
    </row>
    <row r="27" spans="1:31" x14ac:dyDescent="0.35">
      <c r="A27">
        <v>373489</v>
      </c>
      <c r="B27" s="2">
        <v>45877.21597222222</v>
      </c>
      <c r="C27" s="3">
        <v>45877</v>
      </c>
      <c r="D27" s="4">
        <v>0.21616898148148148</v>
      </c>
      <c r="E27">
        <v>0.21616898148148148</v>
      </c>
      <c r="F27" t="s">
        <v>31</v>
      </c>
      <c r="G27">
        <v>5</v>
      </c>
      <c r="H27">
        <v>4083</v>
      </c>
      <c r="I27">
        <v>89</v>
      </c>
      <c r="J27">
        <v>0</v>
      </c>
      <c r="K27">
        <v>1.8</v>
      </c>
      <c r="L27">
        <v>0.21597222222044365</v>
      </c>
      <c r="M27">
        <f t="shared" si="0"/>
        <v>0.21944444444670808</v>
      </c>
      <c r="N27" s="5">
        <v>56.585442</v>
      </c>
      <c r="O27">
        <v>-6.6384910000000001</v>
      </c>
      <c r="P27">
        <v>45877.21597222222</v>
      </c>
      <c r="Q27" s="6">
        <v>8.8122348649608287E-2</v>
      </c>
      <c r="R27" s="6">
        <f t="shared" si="1"/>
        <v>1.4687058109977847E-2</v>
      </c>
      <c r="S27" s="6" t="e">
        <f t="shared" si="2"/>
        <v>#VALUE!</v>
      </c>
      <c r="T27">
        <v>18</v>
      </c>
      <c r="U27">
        <v>0</v>
      </c>
      <c r="V27">
        <v>0</v>
      </c>
      <c r="W27">
        <v>16</v>
      </c>
      <c r="X27">
        <v>0</v>
      </c>
      <c r="Y27">
        <v>0</v>
      </c>
      <c r="Z27">
        <v>0</v>
      </c>
      <c r="AA27">
        <v>-170</v>
      </c>
      <c r="AB27">
        <v>-628</v>
      </c>
      <c r="AC27">
        <v>791</v>
      </c>
      <c r="AD27">
        <v>56.585386499999949</v>
      </c>
      <c r="AE27">
        <v>-6.6384259999999999</v>
      </c>
    </row>
    <row r="28" spans="1:31" x14ac:dyDescent="0.35">
      <c r="A28">
        <v>373489</v>
      </c>
      <c r="B28" s="2">
        <v>45877.222916666666</v>
      </c>
      <c r="C28" s="3">
        <v>45877</v>
      </c>
      <c r="D28" s="4">
        <v>0.22313657407407408</v>
      </c>
      <c r="E28">
        <v>0.22313657407407408</v>
      </c>
      <c r="F28" t="s">
        <v>31</v>
      </c>
      <c r="G28">
        <v>5</v>
      </c>
      <c r="H28">
        <v>4083</v>
      </c>
      <c r="I28">
        <v>89</v>
      </c>
      <c r="J28">
        <v>0</v>
      </c>
      <c r="K28">
        <v>1.9</v>
      </c>
      <c r="L28">
        <v>0.22291666666569654</v>
      </c>
      <c r="M28">
        <f t="shared" si="0"/>
        <v>0.36527777777519077</v>
      </c>
      <c r="N28" s="5">
        <v>56.585330999999897</v>
      </c>
      <c r="O28">
        <v>-6.6383609999999997</v>
      </c>
      <c r="P28">
        <v>45877.222916666666</v>
      </c>
      <c r="Q28" s="6">
        <v>7.8050032418100934E-2</v>
      </c>
      <c r="R28" s="6">
        <f t="shared" si="1"/>
        <v>1.4924761835089461E-2</v>
      </c>
      <c r="S28" s="6" t="e">
        <f t="shared" si="2"/>
        <v>#VALUE!</v>
      </c>
      <c r="T28">
        <v>22</v>
      </c>
      <c r="U28">
        <v>0</v>
      </c>
      <c r="V28">
        <v>0</v>
      </c>
      <c r="W28">
        <v>15</v>
      </c>
      <c r="X28">
        <v>0</v>
      </c>
      <c r="Y28">
        <v>0</v>
      </c>
      <c r="Z28">
        <v>0</v>
      </c>
      <c r="AA28">
        <v>-75</v>
      </c>
      <c r="AB28">
        <v>-291</v>
      </c>
      <c r="AC28">
        <v>1097</v>
      </c>
      <c r="AD28">
        <v>56.585370999999952</v>
      </c>
      <c r="AE28">
        <v>-6.6384384999999995</v>
      </c>
    </row>
    <row r="29" spans="1:31" x14ac:dyDescent="0.35">
      <c r="A29">
        <v>373489</v>
      </c>
      <c r="B29" s="2">
        <v>45877.507638888892</v>
      </c>
      <c r="C29" s="3">
        <v>45877</v>
      </c>
      <c r="D29" s="4">
        <v>0.50784722222222223</v>
      </c>
      <c r="E29">
        <v>0.50784722222222223</v>
      </c>
      <c r="F29" t="s">
        <v>31</v>
      </c>
      <c r="G29">
        <v>6</v>
      </c>
      <c r="H29">
        <v>4029</v>
      </c>
      <c r="I29">
        <v>80</v>
      </c>
      <c r="J29">
        <v>0</v>
      </c>
      <c r="K29">
        <v>1.5</v>
      </c>
      <c r="L29">
        <v>0.50763888889196096</v>
      </c>
      <c r="M29">
        <f t="shared" si="0"/>
        <v>0.43819444444670808</v>
      </c>
      <c r="N29" s="5">
        <v>56.585197000000001</v>
      </c>
      <c r="O29">
        <v>-6.6383749999999999</v>
      </c>
      <c r="P29">
        <v>45877.507638888892</v>
      </c>
      <c r="Q29" s="6">
        <v>7.7886927463868258E-2</v>
      </c>
      <c r="R29" s="6">
        <f t="shared" si="1"/>
        <v>1.6805784130300924E-2</v>
      </c>
      <c r="S29" s="6" t="e">
        <f t="shared" si="2"/>
        <v>#VALUE!</v>
      </c>
      <c r="T29">
        <v>20</v>
      </c>
      <c r="U29">
        <v>0</v>
      </c>
      <c r="V29">
        <v>341</v>
      </c>
      <c r="W29">
        <v>19</v>
      </c>
      <c r="X29">
        <v>0</v>
      </c>
      <c r="Y29">
        <v>0</v>
      </c>
      <c r="Z29">
        <v>0</v>
      </c>
      <c r="AA29">
        <v>-376</v>
      </c>
      <c r="AB29">
        <v>-438</v>
      </c>
      <c r="AC29">
        <v>866</v>
      </c>
      <c r="AD29">
        <v>56.585142000000005</v>
      </c>
      <c r="AE29">
        <v>-6.6383394999999998</v>
      </c>
    </row>
    <row r="30" spans="1:31" x14ac:dyDescent="0.35">
      <c r="A30">
        <v>373489</v>
      </c>
      <c r="B30" s="2">
        <v>45877.368750000001</v>
      </c>
      <c r="C30" s="3">
        <v>45877</v>
      </c>
      <c r="D30" s="4">
        <v>0.36899305555555556</v>
      </c>
      <c r="E30">
        <v>0.36899305555555556</v>
      </c>
      <c r="F30" t="s">
        <v>31</v>
      </c>
      <c r="G30">
        <v>6</v>
      </c>
      <c r="H30">
        <v>4061</v>
      </c>
      <c r="I30">
        <v>85</v>
      </c>
      <c r="J30">
        <v>0</v>
      </c>
      <c r="K30">
        <v>1.1000000000000001</v>
      </c>
      <c r="L30">
        <v>0.36875000000145519</v>
      </c>
      <c r="M30">
        <f t="shared" si="0"/>
        <v>0.45902777777519077</v>
      </c>
      <c r="N30" s="5">
        <v>56.585346000000001</v>
      </c>
      <c r="O30">
        <v>-6.6383289999999997</v>
      </c>
      <c r="P30">
        <v>45877.368750000001</v>
      </c>
      <c r="Q30" s="6">
        <v>7.7751163206085605E-2</v>
      </c>
      <c r="R30" s="6">
        <f t="shared" si="1"/>
        <v>2.2759881285724905E-2</v>
      </c>
      <c r="S30" s="6" t="e">
        <f t="shared" si="2"/>
        <v>#VALUE!</v>
      </c>
      <c r="T30">
        <v>6</v>
      </c>
      <c r="U30">
        <v>0</v>
      </c>
      <c r="V30">
        <v>0</v>
      </c>
      <c r="W30">
        <v>18</v>
      </c>
      <c r="X30">
        <v>0</v>
      </c>
      <c r="Y30">
        <v>0</v>
      </c>
      <c r="Z30">
        <v>0</v>
      </c>
      <c r="AA30">
        <v>-62</v>
      </c>
      <c r="AB30">
        <v>-91</v>
      </c>
      <c r="AC30">
        <v>1064</v>
      </c>
      <c r="AD30">
        <v>56.585294499999947</v>
      </c>
      <c r="AE30">
        <v>-6.6383785</v>
      </c>
    </row>
    <row r="31" spans="1:31" x14ac:dyDescent="0.35">
      <c r="A31">
        <v>373489</v>
      </c>
      <c r="B31" s="2">
        <v>45877.549305555556</v>
      </c>
      <c r="C31" s="3">
        <v>45877</v>
      </c>
      <c r="D31" s="4">
        <v>0.54951388888888886</v>
      </c>
      <c r="E31">
        <v>0.54951388888888886</v>
      </c>
      <c r="F31" t="s">
        <v>31</v>
      </c>
      <c r="G31">
        <v>4</v>
      </c>
      <c r="H31">
        <v>4015</v>
      </c>
      <c r="I31">
        <v>78</v>
      </c>
      <c r="J31">
        <v>0</v>
      </c>
      <c r="K31">
        <v>1.9</v>
      </c>
      <c r="L31">
        <v>0.54930555555620231</v>
      </c>
      <c r="M31">
        <f t="shared" si="0"/>
        <v>0.37222222222771961</v>
      </c>
      <c r="N31" s="5">
        <v>56.585144</v>
      </c>
      <c r="O31">
        <v>-6.6382690000000002</v>
      </c>
      <c r="P31">
        <v>45877.549305555556</v>
      </c>
      <c r="Q31" s="6">
        <v>7.5507589235206771E-2</v>
      </c>
      <c r="R31" s="6">
        <f t="shared" si="1"/>
        <v>3.3409468335538629E-2</v>
      </c>
      <c r="S31" s="6" t="e">
        <f t="shared" si="2"/>
        <v>#VALUE!</v>
      </c>
      <c r="T31">
        <v>16</v>
      </c>
      <c r="U31">
        <v>0</v>
      </c>
      <c r="V31">
        <v>110</v>
      </c>
      <c r="W31">
        <v>20</v>
      </c>
      <c r="X31">
        <v>0</v>
      </c>
      <c r="Y31">
        <v>0</v>
      </c>
      <c r="Z31">
        <v>0</v>
      </c>
      <c r="AA31">
        <v>-204</v>
      </c>
      <c r="AB31">
        <v>-25</v>
      </c>
      <c r="AC31">
        <v>1035</v>
      </c>
      <c r="AD31">
        <v>56.585148000000004</v>
      </c>
      <c r="AE31">
        <v>-6.6383714999999999</v>
      </c>
    </row>
    <row r="32" spans="1:31" x14ac:dyDescent="0.35">
      <c r="A32">
        <v>373489</v>
      </c>
      <c r="B32" s="2">
        <v>45877.195138888892</v>
      </c>
      <c r="C32" s="3">
        <v>45877</v>
      </c>
      <c r="D32" s="4">
        <v>0.19535879629629629</v>
      </c>
      <c r="E32">
        <v>0.19535879629629629</v>
      </c>
      <c r="F32" t="s">
        <v>31</v>
      </c>
      <c r="G32">
        <v>6</v>
      </c>
      <c r="H32">
        <v>4089</v>
      </c>
      <c r="I32">
        <v>90</v>
      </c>
      <c r="J32">
        <v>0</v>
      </c>
      <c r="K32">
        <v>1.9</v>
      </c>
      <c r="L32">
        <v>0.19513888889196096</v>
      </c>
      <c r="M32">
        <f t="shared" si="0"/>
        <v>0.65694444444670808</v>
      </c>
      <c r="N32" s="5">
        <v>56.585254999999897</v>
      </c>
      <c r="O32">
        <v>-6.638776</v>
      </c>
      <c r="P32">
        <v>45877.195138888892</v>
      </c>
      <c r="Q32" s="6">
        <v>7.4196434706750247E-2</v>
      </c>
      <c r="R32" s="6">
        <f t="shared" si="1"/>
        <v>0.13622701205010748</v>
      </c>
      <c r="S32" s="6" t="e">
        <f t="shared" si="2"/>
        <v>#VALUE!</v>
      </c>
      <c r="T32">
        <v>14</v>
      </c>
      <c r="U32">
        <v>0</v>
      </c>
      <c r="V32">
        <v>0</v>
      </c>
      <c r="W32">
        <v>18</v>
      </c>
      <c r="X32">
        <v>0</v>
      </c>
      <c r="Y32">
        <v>0</v>
      </c>
      <c r="Z32">
        <v>0</v>
      </c>
      <c r="AA32">
        <v>-185</v>
      </c>
      <c r="AB32">
        <v>81</v>
      </c>
      <c r="AC32">
        <v>1028</v>
      </c>
      <c r="AD32">
        <v>56.58530449999995</v>
      </c>
      <c r="AE32">
        <v>-6.6387299999999998</v>
      </c>
    </row>
    <row r="33" spans="1:31" x14ac:dyDescent="0.35">
      <c r="A33">
        <v>373489</v>
      </c>
      <c r="B33" s="2">
        <v>45878.118750000001</v>
      </c>
      <c r="C33" s="3">
        <v>45878</v>
      </c>
      <c r="D33" s="4">
        <v>0.11896990740740741</v>
      </c>
      <c r="E33">
        <v>0.11896990740740741</v>
      </c>
      <c r="F33" t="s">
        <v>31</v>
      </c>
      <c r="G33">
        <v>5</v>
      </c>
      <c r="H33">
        <v>3970</v>
      </c>
      <c r="I33">
        <v>70</v>
      </c>
      <c r="J33">
        <v>0</v>
      </c>
      <c r="K33">
        <v>1.6</v>
      </c>
      <c r="L33">
        <v>0.11875000000145519</v>
      </c>
      <c r="M33">
        <f t="shared" si="0"/>
        <v>0.71250000000145519</v>
      </c>
      <c r="N33" s="5">
        <v>56.584029999999899</v>
      </c>
      <c r="O33">
        <v>-6.6387450000000001</v>
      </c>
      <c r="P33">
        <v>45878.118750000001</v>
      </c>
      <c r="Q33" s="6">
        <v>7.1994077793485614E-2</v>
      </c>
      <c r="R33" s="6">
        <f t="shared" si="1"/>
        <v>182.75086088404606</v>
      </c>
      <c r="S33" s="6" t="e">
        <f t="shared" si="2"/>
        <v>#VALUE!</v>
      </c>
      <c r="T33">
        <v>1</v>
      </c>
      <c r="U33">
        <v>0</v>
      </c>
      <c r="V33">
        <v>0</v>
      </c>
      <c r="W33">
        <v>15</v>
      </c>
      <c r="X33">
        <v>0</v>
      </c>
      <c r="Y33">
        <v>0</v>
      </c>
      <c r="Z33">
        <v>0</v>
      </c>
      <c r="AA33">
        <v>-284</v>
      </c>
      <c r="AB33">
        <v>-185</v>
      </c>
      <c r="AC33">
        <v>1018</v>
      </c>
      <c r="AD33">
        <v>56.583949999999902</v>
      </c>
      <c r="AE33">
        <v>-6.6386134999999999</v>
      </c>
    </row>
    <row r="34" spans="1:31" x14ac:dyDescent="0.35">
      <c r="A34">
        <v>373489</v>
      </c>
      <c r="B34" s="2">
        <v>45879.306250000001</v>
      </c>
      <c r="C34" s="3">
        <v>45879</v>
      </c>
      <c r="D34" s="4">
        <v>0.30646990740740743</v>
      </c>
      <c r="E34">
        <v>0.30646990740740743</v>
      </c>
      <c r="F34" t="s">
        <v>31</v>
      </c>
      <c r="G34">
        <v>5</v>
      </c>
      <c r="H34">
        <v>3936</v>
      </c>
      <c r="I34">
        <v>64</v>
      </c>
      <c r="J34">
        <v>0</v>
      </c>
      <c r="K34">
        <v>1.4</v>
      </c>
      <c r="L34">
        <v>0.30625000000145519</v>
      </c>
      <c r="M34">
        <f t="shared" si="0"/>
        <v>0.96944444444670808</v>
      </c>
      <c r="N34" s="5">
        <v>55.29298</v>
      </c>
      <c r="O34">
        <v>-4.8225519999999999</v>
      </c>
      <c r="P34">
        <v>45879.306250000001</v>
      </c>
      <c r="Q34" s="6">
        <v>6.6031959794970688E-2</v>
      </c>
      <c r="R34" s="6">
        <f t="shared" si="1"/>
        <v>182.86668774606528</v>
      </c>
      <c r="S34" s="6" t="e">
        <f t="shared" si="2"/>
        <v>#VALUE!</v>
      </c>
      <c r="T34">
        <v>41</v>
      </c>
      <c r="U34">
        <v>0</v>
      </c>
      <c r="V34">
        <v>187</v>
      </c>
      <c r="W34">
        <v>23</v>
      </c>
      <c r="X34">
        <v>0</v>
      </c>
      <c r="Y34">
        <v>0</v>
      </c>
      <c r="Z34">
        <v>0</v>
      </c>
      <c r="AA34">
        <v>-204</v>
      </c>
      <c r="AB34">
        <v>-472</v>
      </c>
      <c r="AC34">
        <v>924</v>
      </c>
      <c r="AD34">
        <v>55.292901999999998</v>
      </c>
      <c r="AE34">
        <v>-4.8224450000000001</v>
      </c>
    </row>
    <row r="35" spans="1:31" x14ac:dyDescent="0.35">
      <c r="A35">
        <v>373489</v>
      </c>
      <c r="B35" s="2">
        <v>45876.632638888892</v>
      </c>
      <c r="C35" s="3">
        <v>45876</v>
      </c>
      <c r="D35" s="4">
        <v>0.63287037037037042</v>
      </c>
      <c r="E35">
        <v>0.63287037037037042</v>
      </c>
      <c r="F35" t="s">
        <v>31</v>
      </c>
      <c r="G35">
        <v>4</v>
      </c>
      <c r="H35">
        <v>4174</v>
      </c>
      <c r="I35">
        <v>100</v>
      </c>
      <c r="J35">
        <v>0</v>
      </c>
      <c r="K35">
        <v>1.6</v>
      </c>
      <c r="L35">
        <v>0.63263888889196096</v>
      </c>
      <c r="M35">
        <f t="shared" si="0"/>
        <v>5.6250000001455192E-2</v>
      </c>
      <c r="N35" s="5">
        <v>56.585369</v>
      </c>
      <c r="O35">
        <v>-6.6387470000000004</v>
      </c>
      <c r="P35">
        <v>45876.632638888892</v>
      </c>
      <c r="Q35" s="6">
        <v>6.3798420435095468E-2</v>
      </c>
      <c r="R35" s="6">
        <f t="shared" si="1"/>
        <v>2.4525961908383992E-2</v>
      </c>
      <c r="S35" s="6" t="e">
        <f t="shared" si="2"/>
        <v>#VALUE!</v>
      </c>
      <c r="T35">
        <v>4</v>
      </c>
      <c r="U35">
        <v>2</v>
      </c>
      <c r="V35">
        <v>324</v>
      </c>
      <c r="W35">
        <v>23</v>
      </c>
      <c r="X35">
        <v>0</v>
      </c>
      <c r="Y35">
        <v>0</v>
      </c>
      <c r="Z35">
        <v>0</v>
      </c>
      <c r="AA35">
        <v>-168</v>
      </c>
      <c r="AB35">
        <v>-161</v>
      </c>
      <c r="AC35">
        <v>1044</v>
      </c>
      <c r="AD35">
        <v>56.585347999999954</v>
      </c>
      <c r="AE35">
        <v>-6.6386690000000002</v>
      </c>
    </row>
    <row r="36" spans="1:31" x14ac:dyDescent="0.35">
      <c r="A36">
        <v>373489</v>
      </c>
      <c r="B36" s="2">
        <v>45877.479861111111</v>
      </c>
      <c r="C36" s="3">
        <v>45877</v>
      </c>
      <c r="D36" s="4">
        <v>0.48011574074074076</v>
      </c>
      <c r="E36">
        <v>0.48011574074074076</v>
      </c>
      <c r="F36" t="s">
        <v>31</v>
      </c>
      <c r="G36">
        <v>6</v>
      </c>
      <c r="H36">
        <v>4032</v>
      </c>
      <c r="I36">
        <v>80</v>
      </c>
      <c r="J36">
        <v>0</v>
      </c>
      <c r="K36">
        <v>1.7</v>
      </c>
      <c r="L36">
        <v>0.47986111111094942</v>
      </c>
      <c r="M36">
        <f t="shared" si="0"/>
        <v>0.92430555555620231</v>
      </c>
      <c r="N36" s="5">
        <v>56.585228000000001</v>
      </c>
      <c r="O36">
        <v>-6.638439</v>
      </c>
      <c r="P36">
        <v>45877.479861111111</v>
      </c>
      <c r="Q36" s="6">
        <v>6.2613315999780983E-2</v>
      </c>
      <c r="R36" s="6">
        <f t="shared" si="1"/>
        <v>7.6937349543772418E-2</v>
      </c>
      <c r="S36" s="6" t="e">
        <f t="shared" si="2"/>
        <v>#VALUE!</v>
      </c>
      <c r="T36">
        <v>16</v>
      </c>
      <c r="U36">
        <v>0</v>
      </c>
      <c r="V36">
        <v>0</v>
      </c>
      <c r="W36">
        <v>18</v>
      </c>
      <c r="X36">
        <v>0</v>
      </c>
      <c r="Y36">
        <v>0</v>
      </c>
      <c r="Z36">
        <v>0</v>
      </c>
      <c r="AA36">
        <v>-199</v>
      </c>
      <c r="AB36">
        <v>-230</v>
      </c>
      <c r="AC36">
        <v>1010</v>
      </c>
      <c r="AD36">
        <v>56.585186</v>
      </c>
      <c r="AE36">
        <v>-6.638401</v>
      </c>
    </row>
    <row r="37" spans="1:31" x14ac:dyDescent="0.35">
      <c r="A37">
        <v>373489</v>
      </c>
      <c r="B37" s="2">
        <v>45878.368750000001</v>
      </c>
      <c r="C37" s="3">
        <v>45878</v>
      </c>
      <c r="D37" s="4">
        <v>0.36891203703703701</v>
      </c>
      <c r="E37">
        <v>0.36891203703703701</v>
      </c>
      <c r="F37" t="s">
        <v>31</v>
      </c>
      <c r="G37">
        <v>7</v>
      </c>
      <c r="H37">
        <v>3975</v>
      </c>
      <c r="I37">
        <v>71</v>
      </c>
      <c r="J37">
        <v>0</v>
      </c>
      <c r="K37">
        <v>1.8</v>
      </c>
      <c r="L37">
        <v>0.36875000000145519</v>
      </c>
      <c r="M37">
        <f t="shared" si="0"/>
        <v>0.49375000000145519</v>
      </c>
      <c r="N37" s="5">
        <v>56.584755000000001</v>
      </c>
      <c r="O37">
        <v>-6.6393560000000003</v>
      </c>
      <c r="P37">
        <v>45878.368750000001</v>
      </c>
      <c r="Q37" s="6">
        <v>6.1620406821927813E-2</v>
      </c>
      <c r="R37" s="6">
        <f t="shared" si="1"/>
        <v>7.4470860518121934E-2</v>
      </c>
      <c r="S37" s="6" t="e">
        <f t="shared" si="2"/>
        <v>#VALUE!</v>
      </c>
      <c r="T37">
        <v>6</v>
      </c>
      <c r="U37">
        <v>0</v>
      </c>
      <c r="V37">
        <v>0</v>
      </c>
      <c r="W37">
        <v>21</v>
      </c>
      <c r="X37">
        <v>0</v>
      </c>
      <c r="Y37">
        <v>0</v>
      </c>
      <c r="Z37">
        <v>0</v>
      </c>
      <c r="AA37">
        <v>-11</v>
      </c>
      <c r="AB37">
        <v>355</v>
      </c>
      <c r="AC37">
        <v>1038</v>
      </c>
      <c r="AD37">
        <v>56.584823499999999</v>
      </c>
      <c r="AE37">
        <v>-6.6394684999999996</v>
      </c>
    </row>
    <row r="38" spans="1:31" x14ac:dyDescent="0.35">
      <c r="A38">
        <v>373489</v>
      </c>
      <c r="B38" s="2">
        <v>45876.618750000001</v>
      </c>
      <c r="C38" s="3">
        <v>45876</v>
      </c>
      <c r="D38" s="4">
        <v>0.61896990740740743</v>
      </c>
      <c r="E38">
        <v>0.61896990740740743</v>
      </c>
      <c r="F38" t="s">
        <v>31</v>
      </c>
      <c r="G38">
        <v>5</v>
      </c>
      <c r="H38">
        <v>4174</v>
      </c>
      <c r="I38">
        <v>100</v>
      </c>
      <c r="J38">
        <v>0</v>
      </c>
      <c r="K38">
        <v>1.2</v>
      </c>
      <c r="L38">
        <v>0.61875000000145519</v>
      </c>
      <c r="M38">
        <f t="shared" si="0"/>
        <v>0.726388888884685</v>
      </c>
      <c r="N38" s="5">
        <v>56.585320000000003</v>
      </c>
      <c r="O38">
        <v>-6.6387029999999996</v>
      </c>
      <c r="P38">
        <v>45876.618750000001</v>
      </c>
      <c r="Q38" s="6">
        <v>5.8793178797975888E-2</v>
      </c>
      <c r="R38" s="6">
        <f t="shared" si="1"/>
        <v>8.5323644876280098E-3</v>
      </c>
      <c r="S38" s="6" t="e">
        <f t="shared" si="2"/>
        <v>#VALUE!</v>
      </c>
      <c r="T38">
        <v>17</v>
      </c>
      <c r="U38">
        <v>0</v>
      </c>
      <c r="V38">
        <v>0</v>
      </c>
      <c r="W38">
        <v>22</v>
      </c>
      <c r="X38">
        <v>0</v>
      </c>
      <c r="Y38">
        <v>0</v>
      </c>
      <c r="Z38">
        <v>0</v>
      </c>
      <c r="AA38">
        <v>-207</v>
      </c>
      <c r="AB38">
        <v>-141</v>
      </c>
      <c r="AC38">
        <v>1029</v>
      </c>
      <c r="AD38">
        <v>56.585357999999999</v>
      </c>
      <c r="AE38">
        <v>-6.6387435000000004</v>
      </c>
    </row>
    <row r="39" spans="1:31" x14ac:dyDescent="0.35">
      <c r="A39">
        <v>373489</v>
      </c>
      <c r="B39" s="2">
        <v>45876.834027777775</v>
      </c>
      <c r="C39" s="3">
        <v>45876</v>
      </c>
      <c r="D39" s="4">
        <v>0.83423611111111107</v>
      </c>
      <c r="E39">
        <v>0.83423611111111107</v>
      </c>
      <c r="F39" t="s">
        <v>31</v>
      </c>
      <c r="G39">
        <v>6</v>
      </c>
      <c r="H39">
        <v>4146</v>
      </c>
      <c r="I39">
        <v>99</v>
      </c>
      <c r="J39">
        <v>0</v>
      </c>
      <c r="K39">
        <v>1.2</v>
      </c>
      <c r="L39">
        <v>0.83402777777519077</v>
      </c>
      <c r="M39">
        <f t="shared" si="0"/>
        <v>0.46944444444670808</v>
      </c>
      <c r="N39" s="5">
        <v>56.585281000000002</v>
      </c>
      <c r="O39">
        <v>-6.6388230000000004</v>
      </c>
      <c r="P39">
        <v>45876.834027777775</v>
      </c>
      <c r="Q39" s="6">
        <v>5.8782166402173132E-2</v>
      </c>
      <c r="R39" s="6">
        <f t="shared" si="1"/>
        <v>0.15230055009595383</v>
      </c>
      <c r="S39" s="6" t="e">
        <f t="shared" si="2"/>
        <v>#VALUE!</v>
      </c>
      <c r="T39">
        <v>19</v>
      </c>
      <c r="U39">
        <v>0</v>
      </c>
      <c r="V39">
        <v>331</v>
      </c>
      <c r="W39">
        <v>18</v>
      </c>
      <c r="X39">
        <v>0</v>
      </c>
      <c r="Y39">
        <v>0</v>
      </c>
      <c r="Z39">
        <v>0</v>
      </c>
      <c r="AA39">
        <v>-288</v>
      </c>
      <c r="AB39">
        <v>-180</v>
      </c>
      <c r="AC39">
        <v>1010</v>
      </c>
      <c r="AD39">
        <v>56.585252499999953</v>
      </c>
      <c r="AE39">
        <v>-6.6387619999999998</v>
      </c>
    </row>
    <row r="40" spans="1:31" x14ac:dyDescent="0.35">
      <c r="A40">
        <v>373489</v>
      </c>
      <c r="B40" s="2">
        <v>45878.104861111111</v>
      </c>
      <c r="C40" s="3">
        <v>45878</v>
      </c>
      <c r="D40" s="4">
        <v>0.10503472222222222</v>
      </c>
      <c r="E40">
        <v>0.10503472222222222</v>
      </c>
      <c r="F40" t="s">
        <v>31</v>
      </c>
      <c r="G40">
        <v>7</v>
      </c>
      <c r="H40">
        <v>3970</v>
      </c>
      <c r="I40">
        <v>70</v>
      </c>
      <c r="J40">
        <v>0</v>
      </c>
      <c r="K40">
        <v>1.4</v>
      </c>
      <c r="L40">
        <v>0.10486111111094942</v>
      </c>
      <c r="M40">
        <f t="shared" si="0"/>
        <v>0.80972222222044365</v>
      </c>
      <c r="N40" s="5">
        <v>56.583922999999899</v>
      </c>
      <c r="O40">
        <v>-6.6384990000000004</v>
      </c>
      <c r="P40">
        <v>45878.104861111111</v>
      </c>
      <c r="Q40" s="6">
        <v>5.758823442884848E-2</v>
      </c>
      <c r="R40" s="6">
        <f t="shared" si="1"/>
        <v>0.12998054994272473</v>
      </c>
      <c r="S40" s="6" t="e">
        <f t="shared" si="2"/>
        <v>#VALUE!</v>
      </c>
      <c r="T40">
        <v>13</v>
      </c>
      <c r="U40">
        <v>0</v>
      </c>
      <c r="V40">
        <v>334</v>
      </c>
      <c r="W40">
        <v>13</v>
      </c>
      <c r="X40">
        <v>0</v>
      </c>
      <c r="Y40">
        <v>0</v>
      </c>
      <c r="Z40">
        <v>0</v>
      </c>
      <c r="AA40">
        <v>-219</v>
      </c>
      <c r="AB40">
        <v>-282</v>
      </c>
      <c r="AC40">
        <v>986</v>
      </c>
      <c r="AD40">
        <v>56.583976499999899</v>
      </c>
      <c r="AE40">
        <v>-6.6386219999999998</v>
      </c>
    </row>
    <row r="41" spans="1:31" x14ac:dyDescent="0.35">
      <c r="A41">
        <v>373489</v>
      </c>
      <c r="B41" s="2">
        <v>45877.51458333333</v>
      </c>
      <c r="C41" s="3">
        <v>45877</v>
      </c>
      <c r="D41" s="4">
        <v>0.51480324074074069</v>
      </c>
      <c r="E41">
        <v>0.51480324074074069</v>
      </c>
      <c r="F41" t="s">
        <v>31</v>
      </c>
      <c r="G41">
        <v>6</v>
      </c>
      <c r="H41">
        <v>4029</v>
      </c>
      <c r="I41">
        <v>80</v>
      </c>
      <c r="J41">
        <v>0</v>
      </c>
      <c r="K41">
        <v>1.4</v>
      </c>
      <c r="L41">
        <v>0.51458333332993789</v>
      </c>
      <c r="M41">
        <f t="shared" si="0"/>
        <v>0.52499999999417923</v>
      </c>
      <c r="N41" s="5">
        <v>56.585087000000001</v>
      </c>
      <c r="O41">
        <v>-6.6383039999999998</v>
      </c>
      <c r="P41">
        <v>45877.51458333333</v>
      </c>
      <c r="Q41" s="6">
        <v>5.6446523748644062E-2</v>
      </c>
      <c r="R41" s="6">
        <f t="shared" si="1"/>
        <v>1.6328591845915581E-2</v>
      </c>
      <c r="S41" s="6" t="e">
        <f t="shared" si="2"/>
        <v>#VALUE!</v>
      </c>
      <c r="T41">
        <v>15</v>
      </c>
      <c r="U41">
        <v>4</v>
      </c>
      <c r="V41">
        <v>139</v>
      </c>
      <c r="W41">
        <v>19</v>
      </c>
      <c r="X41">
        <v>0</v>
      </c>
      <c r="Y41">
        <v>0</v>
      </c>
      <c r="Z41">
        <v>0</v>
      </c>
      <c r="AA41">
        <v>-138</v>
      </c>
      <c r="AB41">
        <v>199</v>
      </c>
      <c r="AC41">
        <v>1034</v>
      </c>
      <c r="AD41">
        <v>56.58512699999995</v>
      </c>
      <c r="AE41">
        <v>-6.6383289999999997</v>
      </c>
    </row>
    <row r="42" spans="1:31" x14ac:dyDescent="0.35">
      <c r="A42">
        <v>373489</v>
      </c>
      <c r="B42" s="2">
        <v>45877.535416666666</v>
      </c>
      <c r="C42" s="3">
        <v>45877</v>
      </c>
      <c r="D42" s="4">
        <v>0.53577546296296297</v>
      </c>
      <c r="E42">
        <v>0.53577546296296297</v>
      </c>
      <c r="F42" t="s">
        <v>31</v>
      </c>
      <c r="G42">
        <v>5</v>
      </c>
      <c r="H42">
        <v>4027</v>
      </c>
      <c r="I42">
        <v>80</v>
      </c>
      <c r="J42">
        <v>0</v>
      </c>
      <c r="K42">
        <v>1.3</v>
      </c>
      <c r="L42">
        <v>0.53541666666569654</v>
      </c>
      <c r="M42">
        <f t="shared" si="0"/>
        <v>0.21944444444670808</v>
      </c>
      <c r="N42" s="5">
        <v>56.585223999999897</v>
      </c>
      <c r="O42">
        <v>-6.6383999999999999</v>
      </c>
      <c r="P42">
        <v>45877.535416666666</v>
      </c>
      <c r="Q42" s="6">
        <v>5.6131270054200433E-2</v>
      </c>
      <c r="R42" s="6">
        <f t="shared" si="1"/>
        <v>2.0801368171001023E-2</v>
      </c>
      <c r="S42" s="6" t="e">
        <f t="shared" si="2"/>
        <v>#VALUE!</v>
      </c>
      <c r="T42">
        <v>26</v>
      </c>
      <c r="U42">
        <v>0</v>
      </c>
      <c r="V42">
        <v>144</v>
      </c>
      <c r="W42">
        <v>20</v>
      </c>
      <c r="X42">
        <v>0</v>
      </c>
      <c r="Y42">
        <v>0</v>
      </c>
      <c r="Z42">
        <v>0</v>
      </c>
      <c r="AA42">
        <v>-105</v>
      </c>
      <c r="AB42">
        <v>21</v>
      </c>
      <c r="AC42">
        <v>1050</v>
      </c>
      <c r="AD42">
        <v>56.585191499999894</v>
      </c>
      <c r="AE42">
        <v>-6.6383514999999997</v>
      </c>
    </row>
    <row r="43" spans="1:31" x14ac:dyDescent="0.35">
      <c r="A43">
        <v>373489</v>
      </c>
      <c r="B43" s="2">
        <v>45876.90347222222</v>
      </c>
      <c r="C43" s="3">
        <v>45876</v>
      </c>
      <c r="D43" s="4">
        <v>0.90365740740740741</v>
      </c>
      <c r="E43">
        <v>0.90365740740740741</v>
      </c>
      <c r="F43" t="s">
        <v>31</v>
      </c>
      <c r="G43">
        <v>5</v>
      </c>
      <c r="H43">
        <v>4137</v>
      </c>
      <c r="I43">
        <v>98</v>
      </c>
      <c r="J43">
        <v>0</v>
      </c>
      <c r="K43">
        <v>1.4</v>
      </c>
      <c r="L43">
        <v>0.90347222222044365</v>
      </c>
      <c r="M43">
        <f t="shared" si="0"/>
        <v>0.99027777777519077</v>
      </c>
      <c r="N43" s="5">
        <v>56.585236000000002</v>
      </c>
      <c r="O43">
        <v>-6.6387390000000002</v>
      </c>
      <c r="P43">
        <v>45876.90347222222</v>
      </c>
      <c r="Q43" s="6">
        <v>5.4653134503569949E-2</v>
      </c>
      <c r="R43" s="6">
        <f t="shared" si="1"/>
        <v>8.5497927936053156E-3</v>
      </c>
      <c r="S43" s="6" t="e">
        <f t="shared" si="2"/>
        <v>#VALUE!</v>
      </c>
      <c r="T43">
        <v>9</v>
      </c>
      <c r="U43">
        <v>0</v>
      </c>
      <c r="V43">
        <v>185</v>
      </c>
      <c r="W43">
        <v>16</v>
      </c>
      <c r="X43">
        <v>0</v>
      </c>
      <c r="Y43">
        <v>0</v>
      </c>
      <c r="Z43">
        <v>0</v>
      </c>
      <c r="AA43">
        <v>-54</v>
      </c>
      <c r="AB43">
        <v>-15</v>
      </c>
      <c r="AC43">
        <v>1071</v>
      </c>
      <c r="AD43">
        <v>56.585275999999951</v>
      </c>
      <c r="AE43">
        <v>-6.6387230000000006</v>
      </c>
    </row>
    <row r="44" spans="1:31" x14ac:dyDescent="0.35">
      <c r="A44">
        <v>373489</v>
      </c>
      <c r="B44" s="2">
        <v>45877.07708333333</v>
      </c>
      <c r="C44" s="3">
        <v>45877</v>
      </c>
      <c r="D44" s="4">
        <v>7.7280092592592595E-2</v>
      </c>
      <c r="E44">
        <v>7.7280092592592595E-2</v>
      </c>
      <c r="F44" t="s">
        <v>31</v>
      </c>
      <c r="G44">
        <v>7</v>
      </c>
      <c r="H44">
        <v>4112</v>
      </c>
      <c r="I44">
        <v>94</v>
      </c>
      <c r="J44">
        <v>0</v>
      </c>
      <c r="K44">
        <v>1</v>
      </c>
      <c r="L44">
        <v>7.7083333329937886E-2</v>
      </c>
      <c r="M44">
        <f t="shared" si="0"/>
        <v>0.86527777777519077</v>
      </c>
      <c r="N44" s="5">
        <v>56.585296999999898</v>
      </c>
      <c r="O44">
        <v>-6.6388239999999996</v>
      </c>
      <c r="P44">
        <v>45877.07708333333</v>
      </c>
      <c r="Q44" s="6">
        <v>5.4640743122277992E-2</v>
      </c>
      <c r="R44" s="6">
        <f t="shared" si="1"/>
        <v>1.1633210759367027E-2</v>
      </c>
      <c r="S44" s="6" t="e">
        <f t="shared" si="2"/>
        <v>#VALUE!</v>
      </c>
      <c r="T44">
        <v>14</v>
      </c>
      <c r="U44">
        <v>0</v>
      </c>
      <c r="V44">
        <v>34</v>
      </c>
      <c r="W44">
        <v>18</v>
      </c>
      <c r="X44">
        <v>0</v>
      </c>
      <c r="Y44">
        <v>0</v>
      </c>
      <c r="Z44">
        <v>0</v>
      </c>
      <c r="AA44">
        <v>-141</v>
      </c>
      <c r="AB44">
        <v>-102</v>
      </c>
      <c r="AC44">
        <v>1046</v>
      </c>
      <c r="AD44">
        <v>56.585267999999949</v>
      </c>
      <c r="AE44">
        <v>-6.6387714999999998</v>
      </c>
    </row>
    <row r="45" spans="1:31" x14ac:dyDescent="0.35">
      <c r="A45">
        <v>373489</v>
      </c>
      <c r="B45" s="2">
        <v>45876.65347222222</v>
      </c>
      <c r="C45" s="3">
        <v>45876</v>
      </c>
      <c r="D45" s="4">
        <v>0.6536805555555556</v>
      </c>
      <c r="E45">
        <v>0.6536805555555556</v>
      </c>
      <c r="F45" t="s">
        <v>31</v>
      </c>
      <c r="G45">
        <v>5</v>
      </c>
      <c r="H45">
        <v>4171</v>
      </c>
      <c r="I45">
        <v>100</v>
      </c>
      <c r="J45">
        <v>0</v>
      </c>
      <c r="K45">
        <v>2</v>
      </c>
      <c r="L45">
        <v>0.65347222222044365</v>
      </c>
      <c r="M45">
        <f t="shared" si="0"/>
        <v>0.86180555555620231</v>
      </c>
      <c r="N45" s="5">
        <v>56.5853269999999</v>
      </c>
      <c r="O45">
        <v>-6.6386419999999999</v>
      </c>
      <c r="P45">
        <v>45876.65347222222</v>
      </c>
      <c r="Q45" s="6">
        <v>5.4388476903695762E-2</v>
      </c>
      <c r="R45" s="6">
        <f t="shared" si="1"/>
        <v>1.1522202643143657E-2</v>
      </c>
      <c r="S45" s="6" t="e">
        <f t="shared" si="2"/>
        <v>#VALUE!</v>
      </c>
      <c r="T45">
        <v>25</v>
      </c>
      <c r="U45">
        <v>0</v>
      </c>
      <c r="V45">
        <v>0</v>
      </c>
      <c r="W45">
        <v>24</v>
      </c>
      <c r="X45">
        <v>0</v>
      </c>
      <c r="Y45">
        <v>0</v>
      </c>
      <c r="Z45">
        <v>0</v>
      </c>
      <c r="AA45">
        <v>-209</v>
      </c>
      <c r="AB45">
        <v>-369</v>
      </c>
      <c r="AC45">
        <v>970</v>
      </c>
      <c r="AD45">
        <v>56.585284999999899</v>
      </c>
      <c r="AE45">
        <v>-6.6386134999999999</v>
      </c>
    </row>
    <row r="46" spans="1:31" x14ac:dyDescent="0.35">
      <c r="A46">
        <v>373489</v>
      </c>
      <c r="B46" s="2">
        <v>45877.070138888892</v>
      </c>
      <c r="C46" s="3">
        <v>45877</v>
      </c>
      <c r="D46" s="4">
        <v>7.0289351851851853E-2</v>
      </c>
      <c r="E46">
        <v>7.0289351851851853E-2</v>
      </c>
      <c r="F46" t="s">
        <v>31</v>
      </c>
      <c r="G46">
        <v>7</v>
      </c>
      <c r="H46">
        <v>4112</v>
      </c>
      <c r="I46">
        <v>94</v>
      </c>
      <c r="J46">
        <v>0</v>
      </c>
      <c r="K46">
        <v>1</v>
      </c>
      <c r="L46">
        <v>7.013888889196096E-2</v>
      </c>
      <c r="M46">
        <f t="shared" si="0"/>
        <v>0.16041666666569654</v>
      </c>
      <c r="N46" s="5">
        <v>56.585236000000002</v>
      </c>
      <c r="O46">
        <v>-6.6387320000000001</v>
      </c>
      <c r="P46">
        <v>45877.070138888892</v>
      </c>
      <c r="Q46" s="6">
        <v>5.2903805657233439E-2</v>
      </c>
      <c r="R46" s="6">
        <f t="shared" si="1"/>
        <v>2.4048131899564149E-2</v>
      </c>
      <c r="S46" s="6" t="e">
        <f t="shared" si="2"/>
        <v>#VALUE!</v>
      </c>
      <c r="T46">
        <v>13</v>
      </c>
      <c r="U46">
        <v>0</v>
      </c>
      <c r="V46">
        <v>276</v>
      </c>
      <c r="W46">
        <v>18</v>
      </c>
      <c r="X46">
        <v>0</v>
      </c>
      <c r="Y46">
        <v>0</v>
      </c>
      <c r="Z46">
        <v>0</v>
      </c>
      <c r="AA46">
        <v>-195</v>
      </c>
      <c r="AB46">
        <v>-208</v>
      </c>
      <c r="AC46">
        <v>1044</v>
      </c>
      <c r="AD46">
        <v>56.585266499999946</v>
      </c>
      <c r="AE46">
        <v>-6.6387780000000003</v>
      </c>
    </row>
    <row r="47" spans="1:31" x14ac:dyDescent="0.35">
      <c r="A47">
        <v>373489</v>
      </c>
      <c r="B47" s="2">
        <v>45877.250694444447</v>
      </c>
      <c r="C47" s="3">
        <v>45877</v>
      </c>
      <c r="D47" s="4">
        <v>0.25094907407407407</v>
      </c>
      <c r="E47">
        <v>0.25094907407407407</v>
      </c>
      <c r="F47" t="s">
        <v>31</v>
      </c>
      <c r="G47">
        <v>4</v>
      </c>
      <c r="H47">
        <v>4080</v>
      </c>
      <c r="I47">
        <v>88</v>
      </c>
      <c r="J47">
        <v>0</v>
      </c>
      <c r="K47">
        <v>1.6</v>
      </c>
      <c r="L47">
        <v>0.25069444444670808</v>
      </c>
      <c r="M47">
        <f t="shared" si="0"/>
        <v>0.37222222222771961</v>
      </c>
      <c r="N47" s="5">
        <v>56.585391999999899</v>
      </c>
      <c r="O47">
        <v>-6.6384600000000002</v>
      </c>
      <c r="P47">
        <v>45877.250694444447</v>
      </c>
      <c r="Q47" s="6">
        <v>5.2621682870656071E-2</v>
      </c>
      <c r="R47" s="6">
        <f t="shared" si="1"/>
        <v>1.1125220674523765E-2</v>
      </c>
      <c r="S47" s="6" t="e">
        <f t="shared" si="2"/>
        <v>#VALUE!</v>
      </c>
      <c r="T47">
        <v>28</v>
      </c>
      <c r="U47">
        <v>3</v>
      </c>
      <c r="V47">
        <v>0</v>
      </c>
      <c r="W47">
        <v>17</v>
      </c>
      <c r="X47">
        <v>0</v>
      </c>
      <c r="Y47">
        <v>0</v>
      </c>
      <c r="Z47">
        <v>0</v>
      </c>
      <c r="AA47">
        <v>-144</v>
      </c>
      <c r="AB47">
        <v>-252</v>
      </c>
      <c r="AC47">
        <v>1006</v>
      </c>
      <c r="AD47">
        <v>56.58538049999995</v>
      </c>
      <c r="AE47">
        <v>-6.6385284999999996</v>
      </c>
    </row>
    <row r="48" spans="1:31" x14ac:dyDescent="0.35">
      <c r="A48">
        <v>373489</v>
      </c>
      <c r="B48" s="2">
        <v>45877.493750000001</v>
      </c>
      <c r="C48" s="3">
        <v>45877</v>
      </c>
      <c r="D48" s="4">
        <v>0.4939351851851852</v>
      </c>
      <c r="E48">
        <v>0.4939351851851852</v>
      </c>
      <c r="F48" t="s">
        <v>31</v>
      </c>
      <c r="G48">
        <v>7</v>
      </c>
      <c r="H48">
        <v>4029</v>
      </c>
      <c r="I48">
        <v>80</v>
      </c>
      <c r="J48">
        <v>0</v>
      </c>
      <c r="K48">
        <v>1.3</v>
      </c>
      <c r="L48">
        <v>0.49375000000145519</v>
      </c>
      <c r="M48">
        <f t="shared" si="0"/>
        <v>0.93819444444670808</v>
      </c>
      <c r="N48" s="5">
        <v>56.585296999999898</v>
      </c>
      <c r="O48">
        <v>-6.6385170000000002</v>
      </c>
      <c r="P48">
        <v>45877.493750000001</v>
      </c>
      <c r="Q48" s="6">
        <v>5.1201679777096651E-2</v>
      </c>
      <c r="R48" s="6">
        <f t="shared" si="1"/>
        <v>7.9202773200535051E-2</v>
      </c>
      <c r="S48" s="6" t="e">
        <f t="shared" si="2"/>
        <v>#VALUE!</v>
      </c>
      <c r="T48">
        <v>14</v>
      </c>
      <c r="U48">
        <v>0</v>
      </c>
      <c r="V48">
        <v>317</v>
      </c>
      <c r="W48">
        <v>19</v>
      </c>
      <c r="X48">
        <v>0</v>
      </c>
      <c r="Y48">
        <v>0</v>
      </c>
      <c r="Z48">
        <v>0</v>
      </c>
      <c r="AA48">
        <v>-247</v>
      </c>
      <c r="AB48">
        <v>-37</v>
      </c>
      <c r="AC48">
        <v>1032</v>
      </c>
      <c r="AD48">
        <v>56.585260499999897</v>
      </c>
      <c r="AE48">
        <v>-6.6384955000000003</v>
      </c>
    </row>
    <row r="49" spans="1:31" x14ac:dyDescent="0.35">
      <c r="A49">
        <v>373489</v>
      </c>
      <c r="B49" s="2">
        <v>45878.382638888892</v>
      </c>
      <c r="C49" s="3">
        <v>45878</v>
      </c>
      <c r="D49" s="4">
        <v>0.38302083333333331</v>
      </c>
      <c r="E49">
        <v>0.38302083333333331</v>
      </c>
      <c r="F49" t="s">
        <v>31</v>
      </c>
      <c r="G49">
        <v>8</v>
      </c>
      <c r="H49">
        <v>3975</v>
      </c>
      <c r="I49">
        <v>71</v>
      </c>
      <c r="J49">
        <v>0</v>
      </c>
      <c r="K49">
        <v>1.9</v>
      </c>
      <c r="L49">
        <v>0.38263888889196096</v>
      </c>
      <c r="M49">
        <f t="shared" si="0"/>
        <v>0.82361111111094942</v>
      </c>
      <c r="N49" s="5">
        <v>56.584892000000004</v>
      </c>
      <c r="O49">
        <v>-6.6395809999999997</v>
      </c>
      <c r="P49">
        <v>45878.382638888892</v>
      </c>
      <c r="Q49" s="6">
        <v>5.1112497552331937E-2</v>
      </c>
      <c r="R49" s="6">
        <f t="shared" si="1"/>
        <v>182.82464168259605</v>
      </c>
      <c r="S49" s="6" t="e">
        <f t="shared" si="2"/>
        <v>#VALUE!</v>
      </c>
      <c r="T49">
        <v>16</v>
      </c>
      <c r="U49">
        <v>0</v>
      </c>
      <c r="V49">
        <v>33</v>
      </c>
      <c r="W49">
        <v>18</v>
      </c>
      <c r="X49">
        <v>0</v>
      </c>
      <c r="Y49">
        <v>0</v>
      </c>
      <c r="Z49">
        <v>0</v>
      </c>
      <c r="AA49">
        <v>-316</v>
      </c>
      <c r="AB49">
        <v>-13</v>
      </c>
      <c r="AC49">
        <v>1076</v>
      </c>
      <c r="AD49">
        <v>56.584916999999948</v>
      </c>
      <c r="AE49">
        <v>-6.6394494999999996</v>
      </c>
    </row>
    <row r="50" spans="1:31" x14ac:dyDescent="0.35">
      <c r="A50">
        <v>373489</v>
      </c>
      <c r="B50" s="2">
        <v>45879.26458333333</v>
      </c>
      <c r="C50" s="3">
        <v>45879</v>
      </c>
      <c r="D50" s="4">
        <v>0.26473379629629629</v>
      </c>
      <c r="E50">
        <v>0.26473379629629629</v>
      </c>
      <c r="F50" t="s">
        <v>31</v>
      </c>
      <c r="G50">
        <v>10</v>
      </c>
      <c r="H50">
        <v>3930</v>
      </c>
      <c r="I50">
        <v>63</v>
      </c>
      <c r="J50">
        <v>0</v>
      </c>
      <c r="K50">
        <v>1</v>
      </c>
      <c r="L50">
        <v>0.26458333332993789</v>
      </c>
      <c r="M50">
        <f t="shared" si="0"/>
        <v>0.26111111111094942</v>
      </c>
      <c r="N50" s="5">
        <v>55.293326999999898</v>
      </c>
      <c r="O50">
        <v>-4.8226120000000003</v>
      </c>
      <c r="P50">
        <v>45879.26458333333</v>
      </c>
      <c r="Q50" s="6">
        <v>4.8704257990898184E-2</v>
      </c>
      <c r="R50" s="6">
        <f t="shared" si="1"/>
        <v>182.82797320474816</v>
      </c>
      <c r="S50" s="6" t="e">
        <f t="shared" si="2"/>
        <v>#VALUE!</v>
      </c>
      <c r="T50">
        <v>33</v>
      </c>
      <c r="U50">
        <v>0</v>
      </c>
      <c r="V50">
        <v>171</v>
      </c>
      <c r="W50">
        <v>21</v>
      </c>
      <c r="X50">
        <v>0</v>
      </c>
      <c r="Y50">
        <v>0</v>
      </c>
      <c r="Z50">
        <v>0</v>
      </c>
      <c r="AA50">
        <v>-152</v>
      </c>
      <c r="AB50">
        <v>-480</v>
      </c>
      <c r="AC50">
        <v>923</v>
      </c>
      <c r="AD50">
        <v>55.293254499999946</v>
      </c>
      <c r="AE50">
        <v>-4.822597</v>
      </c>
    </row>
    <row r="51" spans="1:31" x14ac:dyDescent="0.35">
      <c r="A51">
        <v>373489</v>
      </c>
      <c r="B51" s="2">
        <v>45877.257638888892</v>
      </c>
      <c r="C51" s="3">
        <v>45877</v>
      </c>
      <c r="D51" s="4">
        <v>0.25785879629629632</v>
      </c>
      <c r="E51">
        <v>0.25785879629629632</v>
      </c>
      <c r="F51" t="s">
        <v>31</v>
      </c>
      <c r="G51">
        <v>4</v>
      </c>
      <c r="H51">
        <v>4078</v>
      </c>
      <c r="I51">
        <v>88</v>
      </c>
      <c r="J51">
        <v>0</v>
      </c>
      <c r="K51">
        <v>1.6</v>
      </c>
      <c r="L51">
        <v>0.25763888889196096</v>
      </c>
      <c r="M51">
        <f t="shared" si="0"/>
        <v>0.41041666666569654</v>
      </c>
      <c r="N51" s="5">
        <v>56.585369</v>
      </c>
      <c r="O51">
        <v>-6.6385969999999999</v>
      </c>
      <c r="P51">
        <v>45877.257638888892</v>
      </c>
      <c r="Q51" s="6">
        <v>4.5505066186999642E-2</v>
      </c>
      <c r="R51" s="6">
        <f t="shared" si="1"/>
        <v>3.1742871361688164E-2</v>
      </c>
      <c r="S51" s="6" t="e">
        <f t="shared" si="2"/>
        <v>#VALUE!</v>
      </c>
      <c r="T51">
        <v>21</v>
      </c>
      <c r="U51">
        <v>0</v>
      </c>
      <c r="V51">
        <v>0</v>
      </c>
      <c r="W51">
        <v>18</v>
      </c>
      <c r="X51">
        <v>0</v>
      </c>
      <c r="Y51">
        <v>0</v>
      </c>
      <c r="Z51">
        <v>0</v>
      </c>
      <c r="AA51">
        <v>-147</v>
      </c>
      <c r="AB51">
        <v>-358</v>
      </c>
      <c r="AC51">
        <v>969</v>
      </c>
      <c r="AD51">
        <v>56.585364999999953</v>
      </c>
      <c r="AE51">
        <v>-6.6385354999999997</v>
      </c>
    </row>
    <row r="52" spans="1:31" x14ac:dyDescent="0.35">
      <c r="A52">
        <v>373489</v>
      </c>
      <c r="B52" s="2">
        <v>45877.563194444447</v>
      </c>
      <c r="C52" s="3">
        <v>45877</v>
      </c>
      <c r="D52" s="4">
        <v>0.56340277777777781</v>
      </c>
      <c r="E52">
        <v>0.56340277777777781</v>
      </c>
      <c r="F52" t="s">
        <v>31</v>
      </c>
      <c r="G52">
        <v>4</v>
      </c>
      <c r="H52">
        <v>4018</v>
      </c>
      <c r="I52">
        <v>78</v>
      </c>
      <c r="J52">
        <v>0</v>
      </c>
      <c r="K52">
        <v>1.9</v>
      </c>
      <c r="L52">
        <v>0.56319444444670808</v>
      </c>
      <c r="M52">
        <f t="shared" si="0"/>
        <v>0.55972222222771961</v>
      </c>
      <c r="N52" s="5">
        <v>56.58511</v>
      </c>
      <c r="O52">
        <v>-6.6383789999999996</v>
      </c>
      <c r="P52">
        <v>45877.563194444447</v>
      </c>
      <c r="Q52" s="6">
        <v>4.5102010017785285E-2</v>
      </c>
      <c r="R52" s="6">
        <f t="shared" si="1"/>
        <v>7.4600029762645391E-3</v>
      </c>
      <c r="S52" s="6" t="e">
        <f t="shared" si="2"/>
        <v>#VALUE!</v>
      </c>
      <c r="T52">
        <v>17</v>
      </c>
      <c r="U52">
        <v>0</v>
      </c>
      <c r="V52">
        <v>0</v>
      </c>
      <c r="W52">
        <v>20</v>
      </c>
      <c r="X52">
        <v>0</v>
      </c>
      <c r="Y52">
        <v>0</v>
      </c>
      <c r="Z52">
        <v>0</v>
      </c>
      <c r="AA52">
        <v>-123</v>
      </c>
      <c r="AB52">
        <v>-331</v>
      </c>
      <c r="AC52">
        <v>1005</v>
      </c>
      <c r="AD52">
        <v>56.58513849999995</v>
      </c>
      <c r="AE52">
        <v>-6.6383460000000003</v>
      </c>
    </row>
    <row r="53" spans="1:31" x14ac:dyDescent="0.35">
      <c r="A53">
        <v>373489</v>
      </c>
      <c r="B53" s="2">
        <v>45877.556250000001</v>
      </c>
      <c r="C53" s="3">
        <v>45877</v>
      </c>
      <c r="D53" s="4">
        <v>0.55644675925925924</v>
      </c>
      <c r="E53">
        <v>0.55644675925925924</v>
      </c>
      <c r="F53" t="s">
        <v>31</v>
      </c>
      <c r="G53">
        <v>4</v>
      </c>
      <c r="H53">
        <v>4018</v>
      </c>
      <c r="I53">
        <v>78</v>
      </c>
      <c r="J53">
        <v>0</v>
      </c>
      <c r="K53">
        <v>1.9</v>
      </c>
      <c r="L53">
        <v>0.55625000000145519</v>
      </c>
      <c r="M53">
        <f t="shared" si="0"/>
        <v>0.59444444444670808</v>
      </c>
      <c r="N53" s="5">
        <v>56.585152000000001</v>
      </c>
      <c r="O53">
        <v>-6.6384740000000004</v>
      </c>
      <c r="P53">
        <v>45877.556250000001</v>
      </c>
      <c r="Q53" s="6">
        <v>4.4760017852376481E-2</v>
      </c>
      <c r="R53" s="6">
        <f t="shared" si="1"/>
        <v>2.0622143352889925E-2</v>
      </c>
      <c r="S53" s="6" t="e">
        <f t="shared" si="2"/>
        <v>#VALUE!</v>
      </c>
      <c r="T53">
        <v>8</v>
      </c>
      <c r="U53">
        <v>0</v>
      </c>
      <c r="V53">
        <v>0</v>
      </c>
      <c r="W53">
        <v>21</v>
      </c>
      <c r="X53">
        <v>0</v>
      </c>
      <c r="Y53">
        <v>0</v>
      </c>
      <c r="Z53">
        <v>0</v>
      </c>
      <c r="AA53">
        <v>-174</v>
      </c>
      <c r="AB53">
        <v>-204</v>
      </c>
      <c r="AC53">
        <v>1023</v>
      </c>
      <c r="AD53">
        <v>56.585131000000004</v>
      </c>
      <c r="AE53">
        <v>-6.6384264999999996</v>
      </c>
    </row>
    <row r="54" spans="1:31" x14ac:dyDescent="0.35">
      <c r="A54">
        <v>373489</v>
      </c>
      <c r="B54" s="2">
        <v>45877.632638888892</v>
      </c>
      <c r="C54" s="3">
        <v>45877</v>
      </c>
      <c r="D54" s="4">
        <v>0.6328125</v>
      </c>
      <c r="E54">
        <v>0.6328125</v>
      </c>
      <c r="F54" t="s">
        <v>31</v>
      </c>
      <c r="G54">
        <v>6</v>
      </c>
      <c r="H54">
        <v>4012</v>
      </c>
      <c r="I54">
        <v>77</v>
      </c>
      <c r="J54">
        <v>0</v>
      </c>
      <c r="K54">
        <v>1.4</v>
      </c>
      <c r="L54">
        <v>0.63263888889196096</v>
      </c>
      <c r="M54">
        <f t="shared" si="0"/>
        <v>0.26458333333721384</v>
      </c>
      <c r="N54" s="5">
        <v>56.5851329999999</v>
      </c>
      <c r="O54">
        <v>-6.6381389999999998</v>
      </c>
      <c r="P54">
        <v>45877.632638888892</v>
      </c>
      <c r="Q54" s="6">
        <v>4.3057959720967862E-2</v>
      </c>
      <c r="R54" s="6">
        <f t="shared" si="1"/>
        <v>3.9271959370781838E-2</v>
      </c>
      <c r="S54" s="6" t="e">
        <f t="shared" si="2"/>
        <v>#VALUE!</v>
      </c>
      <c r="T54">
        <v>16</v>
      </c>
      <c r="U54">
        <v>0</v>
      </c>
      <c r="V54">
        <v>0</v>
      </c>
      <c r="W54">
        <v>24</v>
      </c>
      <c r="X54">
        <v>0</v>
      </c>
      <c r="Y54">
        <v>0</v>
      </c>
      <c r="Z54">
        <v>0</v>
      </c>
      <c r="AA54">
        <v>-232</v>
      </c>
      <c r="AB54">
        <v>-45</v>
      </c>
      <c r="AC54">
        <v>1035</v>
      </c>
      <c r="AD54">
        <v>56.585142499999947</v>
      </c>
      <c r="AE54">
        <v>-6.6381949999999996</v>
      </c>
    </row>
    <row r="55" spans="1:31" x14ac:dyDescent="0.35">
      <c r="A55">
        <v>373489</v>
      </c>
      <c r="B55" s="2">
        <v>45876.896527777775</v>
      </c>
      <c r="C55" s="3">
        <v>45876</v>
      </c>
      <c r="D55" s="4">
        <v>0.89670138888888884</v>
      </c>
      <c r="E55">
        <v>0.89670138888888884</v>
      </c>
      <c r="F55" t="s">
        <v>31</v>
      </c>
      <c r="G55">
        <v>5</v>
      </c>
      <c r="H55">
        <v>4137</v>
      </c>
      <c r="I55">
        <v>98</v>
      </c>
      <c r="J55">
        <v>0</v>
      </c>
      <c r="K55">
        <v>1.4</v>
      </c>
      <c r="L55">
        <v>0.89652777777519077</v>
      </c>
      <c r="M55">
        <f t="shared" si="0"/>
        <v>0.90347222222044365</v>
      </c>
      <c r="N55" s="5">
        <v>56.585296999999898</v>
      </c>
      <c r="O55">
        <v>-6.6387070000000001</v>
      </c>
      <c r="P55">
        <v>45876.896527777775</v>
      </c>
      <c r="Q55" s="6">
        <v>4.2361556911128743E-2</v>
      </c>
      <c r="R55" s="6">
        <f t="shared" si="1"/>
        <v>2.1127036061123761E-3</v>
      </c>
      <c r="S55" s="6" t="e">
        <f t="shared" si="2"/>
        <v>#VALUE!</v>
      </c>
      <c r="T55">
        <v>27</v>
      </c>
      <c r="U55">
        <v>0</v>
      </c>
      <c r="V55">
        <v>172</v>
      </c>
      <c r="W55">
        <v>16</v>
      </c>
      <c r="X55">
        <v>0</v>
      </c>
      <c r="Y55">
        <v>0</v>
      </c>
      <c r="Z55">
        <v>0</v>
      </c>
      <c r="AA55">
        <v>-234</v>
      </c>
      <c r="AB55">
        <v>-290</v>
      </c>
      <c r="AC55">
        <v>976</v>
      </c>
      <c r="AD55">
        <v>56.585266499999946</v>
      </c>
      <c r="AE55">
        <v>-6.6387230000000006</v>
      </c>
    </row>
    <row r="56" spans="1:31" x14ac:dyDescent="0.35">
      <c r="A56">
        <v>373489</v>
      </c>
      <c r="B56" s="2">
        <v>45876.910416666666</v>
      </c>
      <c r="C56" s="3">
        <v>45876</v>
      </c>
      <c r="D56" s="4">
        <v>0.91079861111111116</v>
      </c>
      <c r="E56">
        <v>0.91079861111111116</v>
      </c>
      <c r="F56" t="s">
        <v>31</v>
      </c>
      <c r="G56">
        <v>6</v>
      </c>
      <c r="H56">
        <v>4134</v>
      </c>
      <c r="I56">
        <v>97</v>
      </c>
      <c r="J56">
        <v>0</v>
      </c>
      <c r="K56">
        <v>2</v>
      </c>
      <c r="L56">
        <v>0.91041666666569654</v>
      </c>
      <c r="M56">
        <f t="shared" si="0"/>
        <v>0.11180555555620231</v>
      </c>
      <c r="N56" s="5">
        <v>56.585315999999899</v>
      </c>
      <c r="O56">
        <v>-6.6387070000000001</v>
      </c>
      <c r="P56">
        <v>45876.910416666666</v>
      </c>
      <c r="Q56" s="6">
        <v>4.1422257452424179E-2</v>
      </c>
      <c r="R56" s="6">
        <f t="shared" si="1"/>
        <v>1.0522023401901767E-2</v>
      </c>
      <c r="S56" s="6" t="e">
        <f t="shared" si="2"/>
        <v>#VALUE!</v>
      </c>
      <c r="T56">
        <v>15</v>
      </c>
      <c r="U56">
        <v>0</v>
      </c>
      <c r="V56">
        <v>0</v>
      </c>
      <c r="W56">
        <v>17</v>
      </c>
      <c r="X56">
        <v>0</v>
      </c>
      <c r="Y56">
        <v>0</v>
      </c>
      <c r="Z56">
        <v>0</v>
      </c>
      <c r="AA56">
        <v>-185</v>
      </c>
      <c r="AB56">
        <v>-120</v>
      </c>
      <c r="AC56">
        <v>1034</v>
      </c>
      <c r="AD56">
        <v>56.585285499999898</v>
      </c>
      <c r="AE56">
        <v>-6.6387175000000003</v>
      </c>
    </row>
    <row r="57" spans="1:31" x14ac:dyDescent="0.35">
      <c r="A57">
        <v>373489</v>
      </c>
      <c r="B57" s="2">
        <v>45877.313194444447</v>
      </c>
      <c r="C57" s="3">
        <v>45877</v>
      </c>
      <c r="D57" s="4">
        <v>0.31340277777777775</v>
      </c>
      <c r="E57">
        <v>0.31340277777777775</v>
      </c>
      <c r="F57" t="s">
        <v>31</v>
      </c>
      <c r="G57">
        <v>5</v>
      </c>
      <c r="H57">
        <v>4069</v>
      </c>
      <c r="I57">
        <v>87</v>
      </c>
      <c r="J57">
        <v>0</v>
      </c>
      <c r="K57">
        <v>1.7</v>
      </c>
      <c r="L57">
        <v>0.31319444444670808</v>
      </c>
      <c r="M57">
        <f t="shared" si="0"/>
        <v>0.30277777777519077</v>
      </c>
      <c r="N57" s="5">
        <v>56.585365000000003</v>
      </c>
      <c r="O57">
        <v>-6.63856</v>
      </c>
      <c r="P57">
        <v>45877.313194444447</v>
      </c>
      <c r="Q57" s="6">
        <v>4.1295366359741119E-2</v>
      </c>
      <c r="R57" s="6">
        <f t="shared" si="1"/>
        <v>182.8476799187176</v>
      </c>
      <c r="S57" s="6" t="e">
        <f t="shared" si="2"/>
        <v>#VALUE!</v>
      </c>
      <c r="T57">
        <v>-2</v>
      </c>
      <c r="U57">
        <v>1</v>
      </c>
      <c r="V57">
        <v>0</v>
      </c>
      <c r="W57">
        <v>19</v>
      </c>
      <c r="X57">
        <v>0</v>
      </c>
      <c r="Y57">
        <v>0</v>
      </c>
      <c r="Z57">
        <v>0</v>
      </c>
      <c r="AA57">
        <v>-185</v>
      </c>
      <c r="AB57">
        <v>-504</v>
      </c>
      <c r="AC57">
        <v>921</v>
      </c>
      <c r="AD57">
        <v>56.585351999999951</v>
      </c>
      <c r="AE57">
        <v>-6.638509</v>
      </c>
    </row>
    <row r="58" spans="1:31" x14ac:dyDescent="0.35">
      <c r="A58">
        <v>373489</v>
      </c>
      <c r="B58" s="2">
        <v>45879.292361111111</v>
      </c>
      <c r="C58" s="3">
        <v>45879</v>
      </c>
      <c r="D58" s="4">
        <v>0.29253472222222221</v>
      </c>
      <c r="E58">
        <v>0.29253472222222221</v>
      </c>
      <c r="F58" t="s">
        <v>31</v>
      </c>
      <c r="G58">
        <v>8</v>
      </c>
      <c r="H58">
        <v>3933</v>
      </c>
      <c r="I58">
        <v>64</v>
      </c>
      <c r="J58">
        <v>0</v>
      </c>
      <c r="K58">
        <v>1.2</v>
      </c>
      <c r="L58">
        <v>0.29236111111094942</v>
      </c>
      <c r="M58">
        <f t="shared" si="0"/>
        <v>0.39652777777519077</v>
      </c>
      <c r="N58" s="5">
        <v>55.293101999999898</v>
      </c>
      <c r="O58">
        <v>-4.8225699999999998</v>
      </c>
      <c r="P58">
        <v>45879.292361111111</v>
      </c>
      <c r="Q58" s="6">
        <v>4.0840694097648941E-2</v>
      </c>
      <c r="R58" s="6">
        <f t="shared" si="1"/>
        <v>182.83217739985346</v>
      </c>
      <c r="S58" s="6" t="e">
        <f t="shared" si="2"/>
        <v>#VALUE!</v>
      </c>
      <c r="T58">
        <v>30</v>
      </c>
      <c r="U58">
        <v>0</v>
      </c>
      <c r="V58">
        <v>0</v>
      </c>
      <c r="W58">
        <v>23</v>
      </c>
      <c r="X58">
        <v>0</v>
      </c>
      <c r="Y58">
        <v>0</v>
      </c>
      <c r="Z58">
        <v>0</v>
      </c>
      <c r="AA58">
        <v>-75</v>
      </c>
      <c r="AB58">
        <v>-212</v>
      </c>
      <c r="AC58">
        <v>867</v>
      </c>
      <c r="AD58">
        <v>55.293040999999945</v>
      </c>
      <c r="AE58">
        <v>-4.8225610000000003</v>
      </c>
    </row>
    <row r="59" spans="1:31" x14ac:dyDescent="0.35">
      <c r="A59">
        <v>373489</v>
      </c>
      <c r="B59" s="2">
        <v>45877.500694444447</v>
      </c>
      <c r="C59" s="3">
        <v>45877</v>
      </c>
      <c r="D59" s="4">
        <v>0.50087962962962962</v>
      </c>
      <c r="E59">
        <v>0.50087962962962962</v>
      </c>
      <c r="F59" t="s">
        <v>31</v>
      </c>
      <c r="G59">
        <v>6</v>
      </c>
      <c r="H59">
        <v>4029</v>
      </c>
      <c r="I59">
        <v>80</v>
      </c>
      <c r="J59">
        <v>0</v>
      </c>
      <c r="K59">
        <v>1.6</v>
      </c>
      <c r="L59">
        <v>0.50069444444670808</v>
      </c>
      <c r="M59">
        <f t="shared" si="0"/>
        <v>0.17083333333721384</v>
      </c>
      <c r="N59" s="5">
        <v>56.585223999999897</v>
      </c>
      <c r="O59">
        <v>-6.6384740000000004</v>
      </c>
      <c r="P59">
        <v>45877.500694444447</v>
      </c>
      <c r="Q59" s="6">
        <v>4.0589541257845051E-2</v>
      </c>
      <c r="R59" s="6">
        <f t="shared" si="1"/>
        <v>1.3900255019560057E-2</v>
      </c>
      <c r="S59" s="6" t="e">
        <f t="shared" si="2"/>
        <v>#VALUE!</v>
      </c>
      <c r="T59">
        <v>16</v>
      </c>
      <c r="U59">
        <v>0</v>
      </c>
      <c r="V59">
        <v>0</v>
      </c>
      <c r="W59">
        <v>19</v>
      </c>
      <c r="X59">
        <v>0</v>
      </c>
      <c r="Y59">
        <v>0</v>
      </c>
      <c r="Z59">
        <v>0</v>
      </c>
      <c r="AA59">
        <v>21</v>
      </c>
      <c r="AB59">
        <v>-347</v>
      </c>
      <c r="AC59">
        <v>905</v>
      </c>
      <c r="AD59">
        <v>56.585210499999945</v>
      </c>
      <c r="AE59">
        <v>-6.6384245000000002</v>
      </c>
    </row>
    <row r="60" spans="1:31" x14ac:dyDescent="0.35">
      <c r="A60">
        <v>373489</v>
      </c>
      <c r="B60" s="2">
        <v>45876.84097222222</v>
      </c>
      <c r="C60" s="3">
        <v>45876</v>
      </c>
      <c r="D60" s="4">
        <v>0.84116898148148145</v>
      </c>
      <c r="E60">
        <v>0.84116898148148145</v>
      </c>
      <c r="F60" t="s">
        <v>31</v>
      </c>
      <c r="G60">
        <v>6</v>
      </c>
      <c r="H60">
        <v>4146</v>
      </c>
      <c r="I60">
        <v>99</v>
      </c>
      <c r="J60">
        <v>0</v>
      </c>
      <c r="K60">
        <v>1.2</v>
      </c>
      <c r="L60">
        <v>0.84097222222044365</v>
      </c>
      <c r="M60">
        <f t="shared" si="0"/>
        <v>0.82708333333721384</v>
      </c>
      <c r="N60" s="5">
        <v>56.585223999999897</v>
      </c>
      <c r="O60">
        <v>-6.6387010000000002</v>
      </c>
      <c r="P60">
        <v>45876.84097222222</v>
      </c>
      <c r="Q60" s="6">
        <v>3.9657032964897185E-2</v>
      </c>
      <c r="R60" s="6">
        <f t="shared" si="1"/>
        <v>7.9974893053542169E-4</v>
      </c>
      <c r="S60" s="6" t="e">
        <f t="shared" si="2"/>
        <v>#VALUE!</v>
      </c>
      <c r="T60">
        <v>16</v>
      </c>
      <c r="U60">
        <v>0</v>
      </c>
      <c r="V60">
        <v>189</v>
      </c>
      <c r="W60">
        <v>19</v>
      </c>
      <c r="X60">
        <v>0</v>
      </c>
      <c r="Y60">
        <v>0</v>
      </c>
      <c r="Z60">
        <v>0</v>
      </c>
      <c r="AA60">
        <v>-303</v>
      </c>
      <c r="AB60">
        <v>-87</v>
      </c>
      <c r="AC60">
        <v>1017</v>
      </c>
      <c r="AD60">
        <v>56.585242999999949</v>
      </c>
      <c r="AE60">
        <v>-6.6387425000000002</v>
      </c>
    </row>
    <row r="61" spans="1:31" x14ac:dyDescent="0.35">
      <c r="A61">
        <v>373489</v>
      </c>
      <c r="B61" s="2">
        <v>45876.813194444447</v>
      </c>
      <c r="C61" s="3">
        <v>45876</v>
      </c>
      <c r="D61" s="4">
        <v>0.81336805555555558</v>
      </c>
      <c r="E61">
        <v>0.81336805555555558</v>
      </c>
      <c r="F61" t="s">
        <v>31</v>
      </c>
      <c r="G61">
        <v>6</v>
      </c>
      <c r="H61">
        <v>4151</v>
      </c>
      <c r="I61">
        <v>100</v>
      </c>
      <c r="J61">
        <v>0</v>
      </c>
      <c r="K61">
        <v>1.3</v>
      </c>
      <c r="L61">
        <v>0.81319444444670808</v>
      </c>
      <c r="M61">
        <f t="shared" si="0"/>
        <v>2.8472222227719612E-2</v>
      </c>
      <c r="N61" s="5">
        <v>56.585217</v>
      </c>
      <c r="O61">
        <v>-6.6387039999999997</v>
      </c>
      <c r="P61">
        <v>45876.813194444447</v>
      </c>
      <c r="Q61" s="6">
        <v>3.942942162695727E-2</v>
      </c>
      <c r="R61" s="6">
        <f t="shared" si="1"/>
        <v>2.6352353676561475E-2</v>
      </c>
      <c r="S61" s="6" t="e">
        <f t="shared" si="2"/>
        <v>#VALUE!</v>
      </c>
      <c r="T61">
        <v>11</v>
      </c>
      <c r="U61">
        <v>0</v>
      </c>
      <c r="V61">
        <v>347</v>
      </c>
      <c r="W61">
        <v>17</v>
      </c>
      <c r="X61">
        <v>0</v>
      </c>
      <c r="Y61">
        <v>0</v>
      </c>
      <c r="Z61">
        <v>0</v>
      </c>
      <c r="AA61">
        <v>-220</v>
      </c>
      <c r="AB61">
        <v>-318</v>
      </c>
      <c r="AC61">
        <v>965</v>
      </c>
      <c r="AD61">
        <v>56.585241499999952</v>
      </c>
      <c r="AE61">
        <v>-6.6387339999999995</v>
      </c>
    </row>
    <row r="62" spans="1:31" x14ac:dyDescent="0.35">
      <c r="A62">
        <v>373489</v>
      </c>
      <c r="B62" s="2">
        <v>45877.243750000001</v>
      </c>
      <c r="C62" s="3">
        <v>45877</v>
      </c>
      <c r="D62" s="4">
        <v>0.24393518518518517</v>
      </c>
      <c r="E62">
        <v>0.24393518518518517</v>
      </c>
      <c r="F62" t="s">
        <v>31</v>
      </c>
      <c r="G62">
        <v>6</v>
      </c>
      <c r="H62">
        <v>4080</v>
      </c>
      <c r="I62">
        <v>88</v>
      </c>
      <c r="J62">
        <v>0</v>
      </c>
      <c r="K62">
        <v>1.5</v>
      </c>
      <c r="L62">
        <v>0.24375000000145519</v>
      </c>
      <c r="M62">
        <f t="shared" si="0"/>
        <v>0.94166666666569654</v>
      </c>
      <c r="N62" s="5">
        <v>56.5854339999999</v>
      </c>
      <c r="O62">
        <v>-6.6385310000000004</v>
      </c>
      <c r="P62">
        <v>45877.243750000001</v>
      </c>
      <c r="Q62" s="6">
        <v>3.8283844778986754E-2</v>
      </c>
      <c r="R62" s="6">
        <f t="shared" si="1"/>
        <v>1.2452217837204816E-2</v>
      </c>
      <c r="S62" s="6" t="e">
        <f t="shared" si="2"/>
        <v>#VALUE!</v>
      </c>
      <c r="T62">
        <v>11</v>
      </c>
      <c r="U62">
        <v>0</v>
      </c>
      <c r="V62">
        <v>0</v>
      </c>
      <c r="W62">
        <v>17</v>
      </c>
      <c r="X62">
        <v>0</v>
      </c>
      <c r="Y62">
        <v>0</v>
      </c>
      <c r="Z62">
        <v>0</v>
      </c>
      <c r="AA62">
        <v>-165</v>
      </c>
      <c r="AB62">
        <v>-238</v>
      </c>
      <c r="AC62">
        <v>1014</v>
      </c>
      <c r="AD62">
        <v>56.585412999999903</v>
      </c>
      <c r="AE62">
        <v>-6.6384955000000003</v>
      </c>
    </row>
    <row r="63" spans="1:31" x14ac:dyDescent="0.35">
      <c r="A63">
        <v>373489</v>
      </c>
      <c r="B63" s="2">
        <v>45876.63958333333</v>
      </c>
      <c r="C63" s="3">
        <v>45876</v>
      </c>
      <c r="D63" s="4">
        <v>0.63978009259259261</v>
      </c>
      <c r="E63">
        <v>0.63978009259259261</v>
      </c>
      <c r="F63" t="s">
        <v>31</v>
      </c>
      <c r="G63">
        <v>4</v>
      </c>
      <c r="H63">
        <v>4174</v>
      </c>
      <c r="I63">
        <v>100</v>
      </c>
      <c r="J63">
        <v>0</v>
      </c>
      <c r="K63">
        <v>1.4</v>
      </c>
      <c r="L63">
        <v>0.63958333332993789</v>
      </c>
      <c r="M63">
        <f t="shared" si="0"/>
        <v>0.92430555555620231</v>
      </c>
      <c r="N63" s="5">
        <v>56.5853269999999</v>
      </c>
      <c r="O63">
        <v>-6.6385909999999999</v>
      </c>
      <c r="P63">
        <v>45876.63958333333</v>
      </c>
      <c r="Q63" s="6">
        <v>3.7988008743228441E-2</v>
      </c>
      <c r="R63" s="6">
        <f t="shared" si="1"/>
        <v>1.2347985093795946E-2</v>
      </c>
      <c r="S63" s="6" t="e">
        <f t="shared" si="2"/>
        <v>#VALUE!</v>
      </c>
      <c r="T63">
        <v>0</v>
      </c>
      <c r="U63">
        <v>1</v>
      </c>
      <c r="V63">
        <v>119</v>
      </c>
      <c r="W63">
        <v>23</v>
      </c>
      <c r="X63">
        <v>0</v>
      </c>
      <c r="Y63">
        <v>0</v>
      </c>
      <c r="Z63">
        <v>0</v>
      </c>
      <c r="AA63">
        <v>-47</v>
      </c>
      <c r="AB63">
        <v>51</v>
      </c>
      <c r="AC63">
        <v>1041</v>
      </c>
      <c r="AD63">
        <v>56.585307999999955</v>
      </c>
      <c r="AE63">
        <v>-6.6386295000000004</v>
      </c>
    </row>
    <row r="64" spans="1:31" x14ac:dyDescent="0.35">
      <c r="A64">
        <v>373489</v>
      </c>
      <c r="B64" s="2">
        <v>45877.209027777775</v>
      </c>
      <c r="C64" s="3">
        <v>45877</v>
      </c>
      <c r="D64" s="4">
        <v>0.20922453703703703</v>
      </c>
      <c r="E64">
        <v>0.20922453703703703</v>
      </c>
      <c r="F64" t="s">
        <v>31</v>
      </c>
      <c r="G64">
        <v>6</v>
      </c>
      <c r="H64">
        <v>4083</v>
      </c>
      <c r="I64">
        <v>89</v>
      </c>
      <c r="J64">
        <v>0</v>
      </c>
      <c r="K64">
        <v>1.7</v>
      </c>
      <c r="L64">
        <v>0.20902777777519077</v>
      </c>
      <c r="M64">
        <f t="shared" si="0"/>
        <v>0.22291666666569654</v>
      </c>
      <c r="N64" s="5">
        <v>56.585396000000003</v>
      </c>
      <c r="O64">
        <v>-6.638433</v>
      </c>
      <c r="P64">
        <v>45877.209027777775</v>
      </c>
      <c r="Q64" s="6">
        <v>3.7362547665031678E-2</v>
      </c>
      <c r="R64" s="6">
        <f t="shared" si="1"/>
        <v>182.80400030104298</v>
      </c>
      <c r="S64" s="6" t="e">
        <f t="shared" si="2"/>
        <v>#VALUE!</v>
      </c>
      <c r="T64">
        <v>18</v>
      </c>
      <c r="U64">
        <v>0</v>
      </c>
      <c r="V64">
        <v>0</v>
      </c>
      <c r="W64">
        <v>15</v>
      </c>
      <c r="X64">
        <v>0</v>
      </c>
      <c r="Y64">
        <v>0</v>
      </c>
      <c r="Z64">
        <v>0</v>
      </c>
      <c r="AA64">
        <v>-147</v>
      </c>
      <c r="AB64">
        <v>-519</v>
      </c>
      <c r="AC64">
        <v>900</v>
      </c>
      <c r="AD64">
        <v>56.585419000000002</v>
      </c>
      <c r="AE64">
        <v>-6.6384620000000005</v>
      </c>
    </row>
    <row r="65" spans="1:31" x14ac:dyDescent="0.35">
      <c r="A65">
        <v>373489</v>
      </c>
      <c r="B65" s="2">
        <v>45879.236805555556</v>
      </c>
      <c r="C65" s="3">
        <v>45879</v>
      </c>
      <c r="D65" s="4">
        <v>0.23697916666666666</v>
      </c>
      <c r="E65">
        <v>0.23697916666666666</v>
      </c>
      <c r="F65" t="s">
        <v>31</v>
      </c>
      <c r="G65">
        <v>5</v>
      </c>
      <c r="H65">
        <v>3933</v>
      </c>
      <c r="I65">
        <v>64</v>
      </c>
      <c r="J65">
        <v>0</v>
      </c>
      <c r="K65">
        <v>1.2</v>
      </c>
      <c r="L65">
        <v>0.23680555555620231</v>
      </c>
      <c r="M65">
        <f t="shared" si="0"/>
        <v>0.96944444444670808</v>
      </c>
      <c r="N65" s="5">
        <v>55.293532999999897</v>
      </c>
      <c r="O65">
        <v>-4.8226589999999998</v>
      </c>
      <c r="P65">
        <v>45879.236805555556</v>
      </c>
      <c r="Q65" s="6">
        <v>3.736121279505035E-2</v>
      </c>
      <c r="R65" s="6">
        <f t="shared" si="1"/>
        <v>182.79870677073816</v>
      </c>
      <c r="S65" s="6" t="e">
        <f t="shared" si="2"/>
        <v>#VALUE!</v>
      </c>
      <c r="T65">
        <v>35</v>
      </c>
      <c r="U65">
        <v>0</v>
      </c>
      <c r="V65">
        <v>0</v>
      </c>
      <c r="W65">
        <v>21</v>
      </c>
      <c r="X65">
        <v>0</v>
      </c>
      <c r="Y65">
        <v>0</v>
      </c>
      <c r="Z65">
        <v>0</v>
      </c>
      <c r="AA65">
        <v>-236</v>
      </c>
      <c r="AB65">
        <v>-18</v>
      </c>
      <c r="AC65">
        <v>1032</v>
      </c>
      <c r="AD65">
        <v>55.293477999999894</v>
      </c>
      <c r="AE65">
        <v>-4.8226405000000003</v>
      </c>
    </row>
    <row r="66" spans="1:31" x14ac:dyDescent="0.35">
      <c r="A66">
        <v>373489</v>
      </c>
      <c r="B66" s="2">
        <v>45876.70208333333</v>
      </c>
      <c r="C66" s="3">
        <v>45876</v>
      </c>
      <c r="D66" s="4">
        <v>0.70232638888888888</v>
      </c>
      <c r="E66">
        <v>0.70232638888888888</v>
      </c>
      <c r="F66" t="s">
        <v>31</v>
      </c>
      <c r="G66">
        <v>7</v>
      </c>
      <c r="H66">
        <v>4171</v>
      </c>
      <c r="I66">
        <v>100</v>
      </c>
      <c r="J66">
        <v>0</v>
      </c>
      <c r="K66">
        <v>1.1000000000000001</v>
      </c>
      <c r="L66">
        <v>0.70208333332993789</v>
      </c>
      <c r="M66">
        <f t="shared" ref="M66:M129" si="3">AVERAGE(P66:P67)-INT(AVERAGE(P66:P67))</f>
        <v>0.70555555555620231</v>
      </c>
      <c r="N66" s="5">
        <v>56.585239000000001</v>
      </c>
      <c r="O66">
        <v>-6.6386479999999999</v>
      </c>
      <c r="P66">
        <v>45876.70208333333</v>
      </c>
      <c r="Q66" s="6">
        <v>3.720286861110738E-2</v>
      </c>
      <c r="R66" s="6">
        <f t="shared" ref="R66:R129" si="4">(6371*2*ASIN(SQRT((SIN((RADIANS($N66)-RADIANS($N67))/2)^2)+COS(RADIANS($N67))*COS(RADIANS($N66))*(SIN((RADIANS($O66)-RADIANS($O67))/2)^2))))</f>
        <v>6.2004781025730609E-3</v>
      </c>
      <c r="S66" s="6" t="e">
        <f t="shared" ref="S66:S92" si="5">S65+R66</f>
        <v>#VALUE!</v>
      </c>
      <c r="T66">
        <v>9</v>
      </c>
      <c r="U66">
        <v>0</v>
      </c>
      <c r="V66">
        <v>0</v>
      </c>
      <c r="W66">
        <v>20</v>
      </c>
      <c r="X66">
        <v>0</v>
      </c>
      <c r="Y66">
        <v>0</v>
      </c>
      <c r="Z66">
        <v>0</v>
      </c>
      <c r="AA66">
        <v>-199</v>
      </c>
      <c r="AB66">
        <v>-332</v>
      </c>
      <c r="AC66">
        <v>975</v>
      </c>
      <c r="AD66">
        <v>56.585246999999953</v>
      </c>
      <c r="AE66">
        <v>-6.6385994999999998</v>
      </c>
    </row>
    <row r="67" spans="1:31" x14ac:dyDescent="0.35">
      <c r="A67">
        <v>373489</v>
      </c>
      <c r="B67" s="2">
        <v>45876.709027777775</v>
      </c>
      <c r="C67" s="3">
        <v>45876</v>
      </c>
      <c r="D67" s="4">
        <v>0.70923611111111107</v>
      </c>
      <c r="E67">
        <v>0.70923611111111107</v>
      </c>
      <c r="F67" t="s">
        <v>31</v>
      </c>
      <c r="G67">
        <v>6</v>
      </c>
      <c r="H67">
        <v>4171</v>
      </c>
      <c r="I67">
        <v>100</v>
      </c>
      <c r="J67">
        <v>0</v>
      </c>
      <c r="K67">
        <v>1.4</v>
      </c>
      <c r="L67">
        <v>0.70902777777519077</v>
      </c>
      <c r="M67">
        <f t="shared" si="3"/>
        <v>0.92430555555620231</v>
      </c>
      <c r="N67" s="5">
        <v>56.585254999999897</v>
      </c>
      <c r="O67">
        <v>-6.6385509999999996</v>
      </c>
      <c r="P67">
        <v>45876.709027777775</v>
      </c>
      <c r="Q67" s="6">
        <v>3.6671912304143274E-2</v>
      </c>
      <c r="R67" s="6">
        <f t="shared" si="4"/>
        <v>182.78782256994003</v>
      </c>
      <c r="S67" s="6" t="e">
        <f t="shared" si="5"/>
        <v>#VALUE!</v>
      </c>
      <c r="T67">
        <v>21</v>
      </c>
      <c r="U67">
        <v>0</v>
      </c>
      <c r="V67">
        <v>0</v>
      </c>
      <c r="W67">
        <v>20</v>
      </c>
      <c r="X67">
        <v>0</v>
      </c>
      <c r="Y67">
        <v>0</v>
      </c>
      <c r="Z67">
        <v>0</v>
      </c>
      <c r="AA67">
        <v>311</v>
      </c>
      <c r="AB67">
        <v>21</v>
      </c>
      <c r="AC67">
        <v>1085</v>
      </c>
      <c r="AD67">
        <v>56.585258499999952</v>
      </c>
      <c r="AE67">
        <v>-6.6386004999999999</v>
      </c>
    </row>
    <row r="68" spans="1:31" x14ac:dyDescent="0.35">
      <c r="A68">
        <v>373489</v>
      </c>
      <c r="B68" s="2">
        <v>45879.13958333333</v>
      </c>
      <c r="C68" s="3">
        <v>45879</v>
      </c>
      <c r="D68" s="4">
        <v>0.13974537037037038</v>
      </c>
      <c r="E68">
        <v>0.13974537037037038</v>
      </c>
      <c r="F68" t="s">
        <v>31</v>
      </c>
      <c r="G68">
        <v>6</v>
      </c>
      <c r="H68">
        <v>3936</v>
      </c>
      <c r="I68">
        <v>64</v>
      </c>
      <c r="J68">
        <v>0</v>
      </c>
      <c r="K68">
        <v>1.9</v>
      </c>
      <c r="L68">
        <v>0.13958333332993789</v>
      </c>
      <c r="M68">
        <f t="shared" si="3"/>
        <v>0.74027777777519077</v>
      </c>
      <c r="N68" s="5">
        <v>55.293551999999899</v>
      </c>
      <c r="O68">
        <v>-4.8228369999999998</v>
      </c>
      <c r="P68">
        <v>45879.13958333333</v>
      </c>
      <c r="Q68" s="6">
        <v>3.6479590945225376E-2</v>
      </c>
      <c r="R68" s="6">
        <f t="shared" si="4"/>
        <v>182.73117149726329</v>
      </c>
      <c r="S68" s="6" t="e">
        <f t="shared" si="5"/>
        <v>#VALUE!</v>
      </c>
      <c r="T68">
        <v>37</v>
      </c>
      <c r="U68">
        <v>0</v>
      </c>
      <c r="V68">
        <v>301</v>
      </c>
      <c r="W68">
        <v>21</v>
      </c>
      <c r="X68">
        <v>0</v>
      </c>
      <c r="Y68">
        <v>0</v>
      </c>
      <c r="Z68">
        <v>0</v>
      </c>
      <c r="AA68">
        <v>-255</v>
      </c>
      <c r="AB68">
        <v>-99</v>
      </c>
      <c r="AC68">
        <v>1022</v>
      </c>
      <c r="AD68">
        <v>55.293525499999902</v>
      </c>
      <c r="AE68">
        <v>-4.8227530000000005</v>
      </c>
    </row>
    <row r="69" spans="1:31" x14ac:dyDescent="0.35">
      <c r="A69">
        <v>373489</v>
      </c>
      <c r="B69" s="2">
        <v>45878.34097222222</v>
      </c>
      <c r="C69" s="3">
        <v>45878</v>
      </c>
      <c r="D69" s="4">
        <v>0.34151620370370372</v>
      </c>
      <c r="E69">
        <v>0.34151620370370372</v>
      </c>
      <c r="F69" t="s">
        <v>31</v>
      </c>
      <c r="G69">
        <v>10</v>
      </c>
      <c r="H69">
        <v>3961</v>
      </c>
      <c r="I69">
        <v>69</v>
      </c>
      <c r="J69">
        <v>0</v>
      </c>
      <c r="K69">
        <v>1.4</v>
      </c>
      <c r="L69">
        <v>0.34097222222044365</v>
      </c>
      <c r="M69">
        <f t="shared" si="3"/>
        <v>0.73368055555329192</v>
      </c>
      <c r="N69" s="5">
        <v>56.584412</v>
      </c>
      <c r="O69">
        <v>-6.6389719999999999</v>
      </c>
      <c r="P69">
        <v>45878.34097222222</v>
      </c>
      <c r="Q69" s="6">
        <v>3.6315155090893607E-2</v>
      </c>
      <c r="R69" s="6">
        <f t="shared" si="4"/>
        <v>9.3672566923442946E-2</v>
      </c>
      <c r="S69" s="6" t="e">
        <f t="shared" si="5"/>
        <v>#VALUE!</v>
      </c>
      <c r="T69">
        <v>9</v>
      </c>
      <c r="U69">
        <v>0</v>
      </c>
      <c r="V69">
        <v>353</v>
      </c>
      <c r="W69">
        <v>20</v>
      </c>
      <c r="X69">
        <v>0</v>
      </c>
      <c r="Y69">
        <v>0</v>
      </c>
      <c r="Z69">
        <v>0</v>
      </c>
      <c r="AA69">
        <v>34</v>
      </c>
      <c r="AB69">
        <v>426</v>
      </c>
      <c r="AC69">
        <v>986</v>
      </c>
      <c r="AD69">
        <v>56.584463499999998</v>
      </c>
      <c r="AE69">
        <v>-6.6390039999999999</v>
      </c>
    </row>
    <row r="70" spans="1:31" x14ac:dyDescent="0.35">
      <c r="A70">
        <v>373489</v>
      </c>
      <c r="B70" s="2">
        <v>45877.126388888886</v>
      </c>
      <c r="C70" s="3">
        <v>45877</v>
      </c>
      <c r="D70" s="4">
        <v>0.12642361111111111</v>
      </c>
      <c r="E70">
        <v>0.12642361111111111</v>
      </c>
      <c r="F70" t="s">
        <v>31</v>
      </c>
      <c r="G70">
        <v>6</v>
      </c>
      <c r="H70">
        <v>4106</v>
      </c>
      <c r="I70">
        <v>93</v>
      </c>
      <c r="J70">
        <v>0</v>
      </c>
      <c r="K70">
        <v>1.8</v>
      </c>
      <c r="L70">
        <v>0.12638888888614019</v>
      </c>
      <c r="M70">
        <f t="shared" si="3"/>
        <v>0.86909722222480923</v>
      </c>
      <c r="N70" s="5">
        <v>56.585242999999899</v>
      </c>
      <c r="O70">
        <v>-6.6387210000000003</v>
      </c>
      <c r="P70">
        <v>45877.126388888886</v>
      </c>
      <c r="Q70" s="6">
        <v>3.609638622683968E-2</v>
      </c>
      <c r="R70" s="6">
        <f t="shared" si="4"/>
        <v>7.7922928063274173E-3</v>
      </c>
      <c r="S70" s="6" t="e">
        <f t="shared" si="5"/>
        <v>#VALUE!</v>
      </c>
      <c r="T70">
        <v>13</v>
      </c>
      <c r="U70">
        <v>0</v>
      </c>
      <c r="V70">
        <v>0</v>
      </c>
      <c r="W70">
        <v>16</v>
      </c>
      <c r="X70">
        <v>0</v>
      </c>
      <c r="Y70">
        <v>0</v>
      </c>
      <c r="Z70">
        <v>0</v>
      </c>
      <c r="AA70">
        <v>-45</v>
      </c>
      <c r="AB70">
        <v>-249</v>
      </c>
      <c r="AC70">
        <v>1004</v>
      </c>
      <c r="AD70">
        <v>56.585265999999947</v>
      </c>
      <c r="AE70">
        <v>-6.6387355000000001</v>
      </c>
    </row>
    <row r="71" spans="1:31" x14ac:dyDescent="0.35">
      <c r="A71">
        <v>373489</v>
      </c>
      <c r="B71" s="2">
        <v>45876.611805555556</v>
      </c>
      <c r="C71" s="3">
        <v>45876</v>
      </c>
      <c r="D71" s="4">
        <v>0.61199074074074078</v>
      </c>
      <c r="E71">
        <v>0.61199074074074078</v>
      </c>
      <c r="F71" t="s">
        <v>31</v>
      </c>
      <c r="G71">
        <v>5</v>
      </c>
      <c r="H71">
        <v>4177</v>
      </c>
      <c r="I71">
        <v>100</v>
      </c>
      <c r="J71">
        <v>0</v>
      </c>
      <c r="K71">
        <v>1.2</v>
      </c>
      <c r="L71">
        <v>0.61180555555620231</v>
      </c>
      <c r="M71">
        <f t="shared" si="3"/>
        <v>0.26805555555620231</v>
      </c>
      <c r="N71" s="5">
        <v>56.585289000000003</v>
      </c>
      <c r="O71">
        <v>-6.6386250000000002</v>
      </c>
      <c r="P71">
        <v>45876.611805555556</v>
      </c>
      <c r="Q71" s="6">
        <v>3.5341497065307689E-2</v>
      </c>
      <c r="R71" s="6">
        <f t="shared" si="4"/>
        <v>0.13662253862745233</v>
      </c>
      <c r="S71" s="6" t="e">
        <f t="shared" si="5"/>
        <v>#VALUE!</v>
      </c>
      <c r="T71">
        <v>11</v>
      </c>
      <c r="U71">
        <v>0</v>
      </c>
      <c r="V71">
        <v>0</v>
      </c>
      <c r="W71">
        <v>29</v>
      </c>
      <c r="X71">
        <v>0</v>
      </c>
      <c r="Y71">
        <v>0</v>
      </c>
      <c r="Z71">
        <v>0</v>
      </c>
      <c r="AA71">
        <v>-291</v>
      </c>
      <c r="AB71">
        <v>-114</v>
      </c>
      <c r="AC71">
        <v>1022</v>
      </c>
      <c r="AD71">
        <v>56.585304500000007</v>
      </c>
      <c r="AE71">
        <v>-6.6386640000000003</v>
      </c>
    </row>
    <row r="72" spans="1:31" x14ac:dyDescent="0.35">
      <c r="A72">
        <v>373489</v>
      </c>
      <c r="B72" s="2">
        <v>45877.924305555556</v>
      </c>
      <c r="C72" s="3">
        <v>45877</v>
      </c>
      <c r="D72" s="4">
        <v>0.92449074074074078</v>
      </c>
      <c r="E72">
        <v>0.92449074074074078</v>
      </c>
      <c r="F72" t="s">
        <v>31</v>
      </c>
      <c r="G72">
        <v>4</v>
      </c>
      <c r="H72">
        <v>3981</v>
      </c>
      <c r="I72">
        <v>72</v>
      </c>
      <c r="J72">
        <v>0</v>
      </c>
      <c r="K72">
        <v>1.7</v>
      </c>
      <c r="L72">
        <v>0.92430555555620231</v>
      </c>
      <c r="M72">
        <f t="shared" si="3"/>
        <v>0.33055555555620231</v>
      </c>
      <c r="N72" s="5">
        <v>56.584060999999899</v>
      </c>
      <c r="O72">
        <v>-6.6385509999999996</v>
      </c>
      <c r="P72">
        <v>45877.924305555556</v>
      </c>
      <c r="Q72" s="6">
        <v>3.3810684431974401E-2</v>
      </c>
      <c r="R72" s="6">
        <f t="shared" si="4"/>
        <v>0.13153301925788413</v>
      </c>
      <c r="S72" s="6" t="e">
        <f t="shared" si="5"/>
        <v>#VALUE!</v>
      </c>
      <c r="T72">
        <v>17</v>
      </c>
      <c r="U72">
        <v>0</v>
      </c>
      <c r="V72">
        <v>8</v>
      </c>
      <c r="W72">
        <v>16</v>
      </c>
      <c r="X72">
        <v>0</v>
      </c>
      <c r="Y72">
        <v>0</v>
      </c>
      <c r="Z72">
        <v>0</v>
      </c>
      <c r="AA72">
        <v>-182</v>
      </c>
      <c r="AB72">
        <v>-78</v>
      </c>
      <c r="AC72">
        <v>1020</v>
      </c>
      <c r="AD72">
        <v>56.584010999999947</v>
      </c>
      <c r="AE72">
        <v>-6.638566</v>
      </c>
    </row>
    <row r="73" spans="1:31" x14ac:dyDescent="0.35">
      <c r="A73">
        <v>373489</v>
      </c>
      <c r="B73" s="2">
        <v>45876.736805555556</v>
      </c>
      <c r="C73" s="3">
        <v>45876</v>
      </c>
      <c r="D73" s="4">
        <v>0.73700231481481482</v>
      </c>
      <c r="E73">
        <v>0.73700231481481482</v>
      </c>
      <c r="F73" t="s">
        <v>31</v>
      </c>
      <c r="G73">
        <v>6</v>
      </c>
      <c r="H73">
        <v>4166</v>
      </c>
      <c r="I73">
        <v>100</v>
      </c>
      <c r="J73">
        <v>0</v>
      </c>
      <c r="K73">
        <v>1.6</v>
      </c>
      <c r="L73">
        <v>0.73680555555620231</v>
      </c>
      <c r="M73">
        <f t="shared" si="3"/>
        <v>0.17777777777519077</v>
      </c>
      <c r="N73" s="5">
        <v>56.585242999999899</v>
      </c>
      <c r="O73">
        <v>-6.6386349999999998</v>
      </c>
      <c r="P73">
        <v>45876.736805555556</v>
      </c>
      <c r="Q73" s="6">
        <v>3.3494652763281181E-2</v>
      </c>
      <c r="R73" s="6">
        <f t="shared" si="4"/>
        <v>2.8551504382350559E-2</v>
      </c>
      <c r="S73" s="6" t="e">
        <f t="shared" si="5"/>
        <v>#VALUE!</v>
      </c>
      <c r="T73">
        <v>12</v>
      </c>
      <c r="U73">
        <v>0</v>
      </c>
      <c r="V73">
        <v>0</v>
      </c>
      <c r="W73">
        <v>22</v>
      </c>
      <c r="X73">
        <v>0</v>
      </c>
      <c r="Y73">
        <v>0</v>
      </c>
      <c r="Z73">
        <v>0</v>
      </c>
      <c r="AA73">
        <v>-235</v>
      </c>
      <c r="AB73">
        <v>-102</v>
      </c>
      <c r="AC73">
        <v>1023</v>
      </c>
      <c r="AD73">
        <v>56.585246999999953</v>
      </c>
      <c r="AE73">
        <v>-6.6386799999999999</v>
      </c>
    </row>
    <row r="74" spans="1:31" x14ac:dyDescent="0.35">
      <c r="A74">
        <v>373489</v>
      </c>
      <c r="B74" s="2">
        <v>45877.618750000001</v>
      </c>
      <c r="C74" s="3">
        <v>45877</v>
      </c>
      <c r="D74" s="4">
        <v>0.6189351851851852</v>
      </c>
      <c r="E74">
        <v>0.6189351851851852</v>
      </c>
      <c r="F74" t="s">
        <v>31</v>
      </c>
      <c r="G74">
        <v>6</v>
      </c>
      <c r="H74">
        <v>4012</v>
      </c>
      <c r="I74">
        <v>77</v>
      </c>
      <c r="J74">
        <v>0</v>
      </c>
      <c r="K74">
        <v>1.3</v>
      </c>
      <c r="L74">
        <v>0.61875000000145519</v>
      </c>
      <c r="M74">
        <f t="shared" si="3"/>
        <v>0.20555555555620231</v>
      </c>
      <c r="N74" s="5">
        <v>56.585152000000001</v>
      </c>
      <c r="O74">
        <v>-6.6381990000000002</v>
      </c>
      <c r="P74">
        <v>45877.618750000001</v>
      </c>
      <c r="Q74" s="6">
        <v>3.3351576240051951E-2</v>
      </c>
      <c r="R74" s="6">
        <f t="shared" si="4"/>
        <v>3.4307425776186312E-2</v>
      </c>
      <c r="S74" s="6" t="e">
        <f t="shared" si="5"/>
        <v>#VALUE!</v>
      </c>
      <c r="T74">
        <v>12</v>
      </c>
      <c r="U74">
        <v>0</v>
      </c>
      <c r="V74">
        <v>0</v>
      </c>
      <c r="W74">
        <v>22</v>
      </c>
      <c r="X74">
        <v>0</v>
      </c>
      <c r="Y74">
        <v>0</v>
      </c>
      <c r="Z74">
        <v>0</v>
      </c>
      <c r="AA74">
        <v>-183</v>
      </c>
      <c r="AB74">
        <v>-125</v>
      </c>
      <c r="AC74">
        <v>1032</v>
      </c>
      <c r="AD74">
        <v>56.58514399999995</v>
      </c>
      <c r="AE74">
        <v>-6.6381560000000004</v>
      </c>
    </row>
    <row r="75" spans="1:31" x14ac:dyDescent="0.35">
      <c r="A75">
        <v>373489</v>
      </c>
      <c r="B75" s="2">
        <v>45876.792361111111</v>
      </c>
      <c r="C75" s="3">
        <v>45876</v>
      </c>
      <c r="D75" s="4">
        <v>0.79254629629629625</v>
      </c>
      <c r="E75">
        <v>0.79254629629629625</v>
      </c>
      <c r="F75" t="s">
        <v>31</v>
      </c>
      <c r="G75">
        <v>6</v>
      </c>
      <c r="H75">
        <v>4157</v>
      </c>
      <c r="I75">
        <v>100</v>
      </c>
      <c r="J75">
        <v>0</v>
      </c>
      <c r="K75">
        <v>1.8</v>
      </c>
      <c r="L75">
        <v>0.79236111111094942</v>
      </c>
      <c r="M75">
        <f t="shared" si="3"/>
        <v>7.7083333337213844E-2</v>
      </c>
      <c r="N75" s="5">
        <v>56.585289000000003</v>
      </c>
      <c r="O75">
        <v>-6.6387010000000002</v>
      </c>
      <c r="P75">
        <v>45876.792361111111</v>
      </c>
      <c r="Q75" s="6">
        <v>3.327497838972826E-2</v>
      </c>
      <c r="R75" s="6">
        <f t="shared" si="4"/>
        <v>2.2062357976338088E-2</v>
      </c>
      <c r="S75" s="6" t="e">
        <f t="shared" si="5"/>
        <v>#VALUE!</v>
      </c>
      <c r="T75">
        <v>28</v>
      </c>
      <c r="U75">
        <v>0</v>
      </c>
      <c r="V75">
        <v>0</v>
      </c>
      <c r="W75">
        <v>19</v>
      </c>
      <c r="X75">
        <v>0</v>
      </c>
      <c r="Y75">
        <v>0</v>
      </c>
      <c r="Z75">
        <v>0</v>
      </c>
      <c r="AA75">
        <v>-163</v>
      </c>
      <c r="AB75">
        <v>-63</v>
      </c>
      <c r="AC75">
        <v>1062</v>
      </c>
      <c r="AD75">
        <v>56.585265999999947</v>
      </c>
      <c r="AE75">
        <v>-6.6387184999999995</v>
      </c>
    </row>
    <row r="76" spans="1:31" x14ac:dyDescent="0.35">
      <c r="A76">
        <v>373489</v>
      </c>
      <c r="B76" s="2">
        <v>45877.361805555556</v>
      </c>
      <c r="C76" s="3">
        <v>45877</v>
      </c>
      <c r="D76" s="4">
        <v>0.36199074074074072</v>
      </c>
      <c r="E76">
        <v>0.36199074074074072</v>
      </c>
      <c r="F76" t="s">
        <v>31</v>
      </c>
      <c r="G76">
        <v>6</v>
      </c>
      <c r="H76">
        <v>4061</v>
      </c>
      <c r="I76">
        <v>85</v>
      </c>
      <c r="J76">
        <v>0</v>
      </c>
      <c r="K76">
        <v>1.2</v>
      </c>
      <c r="L76">
        <v>0.36180555555620231</v>
      </c>
      <c r="M76">
        <f t="shared" si="3"/>
        <v>0.476388888884685</v>
      </c>
      <c r="N76" s="5">
        <v>56.585296999999898</v>
      </c>
      <c r="O76">
        <v>-6.6383409999999996</v>
      </c>
      <c r="P76">
        <v>45877.361805555556</v>
      </c>
      <c r="Q76" s="6">
        <v>3.298726837793E-2</v>
      </c>
      <c r="R76" s="6">
        <f t="shared" si="4"/>
        <v>1.6367556291773208E-2</v>
      </c>
      <c r="S76" s="6" t="e">
        <f t="shared" si="5"/>
        <v>#VALUE!</v>
      </c>
      <c r="T76">
        <v>16</v>
      </c>
      <c r="U76">
        <v>0</v>
      </c>
      <c r="V76">
        <v>157</v>
      </c>
      <c r="W76">
        <v>17</v>
      </c>
      <c r="X76">
        <v>0</v>
      </c>
      <c r="Y76">
        <v>0</v>
      </c>
      <c r="Z76">
        <v>0</v>
      </c>
      <c r="AA76">
        <v>-150</v>
      </c>
      <c r="AB76">
        <v>-12</v>
      </c>
      <c r="AC76">
        <v>1058</v>
      </c>
      <c r="AD76">
        <v>56.585321499999949</v>
      </c>
      <c r="AE76">
        <v>-6.6383349999999997</v>
      </c>
    </row>
    <row r="77" spans="1:31" x14ac:dyDescent="0.35">
      <c r="A77">
        <v>373489</v>
      </c>
      <c r="B77" s="2">
        <v>45877.59097222222</v>
      </c>
      <c r="C77" s="3">
        <v>45877</v>
      </c>
      <c r="D77" s="4">
        <v>0.59116898148148145</v>
      </c>
      <c r="E77">
        <v>0.59116898148148145</v>
      </c>
      <c r="F77" t="s">
        <v>31</v>
      </c>
      <c r="G77">
        <v>5</v>
      </c>
      <c r="H77">
        <v>4018</v>
      </c>
      <c r="I77">
        <v>78</v>
      </c>
      <c r="J77">
        <v>0</v>
      </c>
      <c r="K77">
        <v>2</v>
      </c>
      <c r="L77">
        <v>0.59097222222044365</v>
      </c>
      <c r="M77">
        <f t="shared" si="3"/>
        <v>0.24027777777519077</v>
      </c>
      <c r="N77" s="5">
        <v>56.585158999999898</v>
      </c>
      <c r="O77">
        <v>-6.6382479999999999</v>
      </c>
      <c r="P77">
        <v>45877.59097222222</v>
      </c>
      <c r="Q77" s="6">
        <v>3.2486099565857914E-2</v>
      </c>
      <c r="R77" s="6">
        <f t="shared" si="4"/>
        <v>3.1469208090080913E-2</v>
      </c>
      <c r="S77" s="6" t="e">
        <f t="shared" si="5"/>
        <v>#VALUE!</v>
      </c>
      <c r="T77">
        <v>28</v>
      </c>
      <c r="U77">
        <v>0</v>
      </c>
      <c r="V77">
        <v>0</v>
      </c>
      <c r="W77">
        <v>23</v>
      </c>
      <c r="X77">
        <v>0</v>
      </c>
      <c r="Y77">
        <v>0</v>
      </c>
      <c r="Z77">
        <v>0</v>
      </c>
      <c r="AA77">
        <v>-134</v>
      </c>
      <c r="AB77">
        <v>-362</v>
      </c>
      <c r="AC77">
        <v>959</v>
      </c>
      <c r="AD77">
        <v>56.585172499999949</v>
      </c>
      <c r="AE77">
        <v>-6.6382060000000003</v>
      </c>
    </row>
    <row r="78" spans="1:31" x14ac:dyDescent="0.35">
      <c r="A78">
        <v>373489</v>
      </c>
      <c r="B78" s="2">
        <v>45876.88958333333</v>
      </c>
      <c r="C78" s="3">
        <v>45876</v>
      </c>
      <c r="D78" s="4">
        <v>0.88978009259259261</v>
      </c>
      <c r="E78">
        <v>0.88978009259259261</v>
      </c>
      <c r="F78" t="s">
        <v>31</v>
      </c>
      <c r="G78">
        <v>5</v>
      </c>
      <c r="H78">
        <v>4137</v>
      </c>
      <c r="I78">
        <v>98</v>
      </c>
      <c r="J78">
        <v>0</v>
      </c>
      <c r="K78">
        <v>1.5</v>
      </c>
      <c r="L78">
        <v>0.88958333332993789</v>
      </c>
      <c r="M78">
        <f t="shared" si="3"/>
        <v>7.0138888884685002E-2</v>
      </c>
      <c r="N78" s="5">
        <v>56.585251</v>
      </c>
      <c r="O78">
        <v>-6.6387340000000004</v>
      </c>
      <c r="P78">
        <v>45876.88958333333</v>
      </c>
      <c r="Q78" s="6">
        <v>3.2253217810377245E-2</v>
      </c>
      <c r="R78" s="6">
        <f t="shared" si="4"/>
        <v>182.81418935875635</v>
      </c>
      <c r="S78" s="6" t="e">
        <f t="shared" si="5"/>
        <v>#VALUE!</v>
      </c>
      <c r="T78">
        <v>20</v>
      </c>
      <c r="U78">
        <v>0</v>
      </c>
      <c r="V78">
        <v>0</v>
      </c>
      <c r="W78">
        <v>16</v>
      </c>
      <c r="X78">
        <v>0</v>
      </c>
      <c r="Y78">
        <v>0</v>
      </c>
      <c r="Z78">
        <v>0</v>
      </c>
      <c r="AA78">
        <v>-185</v>
      </c>
      <c r="AB78">
        <v>-262</v>
      </c>
      <c r="AC78">
        <v>1002</v>
      </c>
      <c r="AD78">
        <v>56.585273999999949</v>
      </c>
      <c r="AE78">
        <v>-6.6387204999999998</v>
      </c>
    </row>
    <row r="79" spans="1:31" x14ac:dyDescent="0.35">
      <c r="A79">
        <v>373489</v>
      </c>
      <c r="B79" s="2">
        <v>45879.250694444447</v>
      </c>
      <c r="C79" s="3">
        <v>45879</v>
      </c>
      <c r="D79" s="4">
        <v>0.25123842592592593</v>
      </c>
      <c r="E79">
        <v>0.25123842592592593</v>
      </c>
      <c r="F79" t="s">
        <v>31</v>
      </c>
      <c r="G79">
        <v>10</v>
      </c>
      <c r="H79">
        <v>3933</v>
      </c>
      <c r="I79">
        <v>64</v>
      </c>
      <c r="J79">
        <v>0</v>
      </c>
      <c r="K79">
        <v>1.2</v>
      </c>
      <c r="L79">
        <v>0.25069444444670808</v>
      </c>
      <c r="M79">
        <f t="shared" si="3"/>
        <v>9.4444444446708076E-2</v>
      </c>
      <c r="N79" s="5">
        <v>55.293422999999898</v>
      </c>
      <c r="O79">
        <v>-4.822622</v>
      </c>
      <c r="P79">
        <v>45879.250694444447</v>
      </c>
      <c r="Q79" s="6">
        <v>3.2080414433441194E-2</v>
      </c>
      <c r="R79" s="6">
        <f t="shared" si="4"/>
        <v>182.81634524424607</v>
      </c>
      <c r="S79" s="6" t="e">
        <f t="shared" si="5"/>
        <v>#VALUE!</v>
      </c>
      <c r="T79">
        <v>31</v>
      </c>
      <c r="U79">
        <v>0</v>
      </c>
      <c r="V79">
        <v>0</v>
      </c>
      <c r="W79">
        <v>22</v>
      </c>
      <c r="X79">
        <v>0</v>
      </c>
      <c r="Y79">
        <v>0</v>
      </c>
      <c r="Z79">
        <v>0</v>
      </c>
      <c r="AA79">
        <v>-212</v>
      </c>
      <c r="AB79">
        <v>-387</v>
      </c>
      <c r="AC79">
        <v>957</v>
      </c>
      <c r="AD79">
        <v>55.293374999999898</v>
      </c>
      <c r="AE79">
        <v>-4.8226170000000002</v>
      </c>
    </row>
    <row r="80" spans="1:31" x14ac:dyDescent="0.35">
      <c r="A80">
        <v>373489</v>
      </c>
      <c r="B80" s="2">
        <v>45876.938194444447</v>
      </c>
      <c r="C80" s="3">
        <v>45876</v>
      </c>
      <c r="D80" s="4">
        <v>0.93836805555555558</v>
      </c>
      <c r="E80">
        <v>0.93836805555555558</v>
      </c>
      <c r="F80" t="s">
        <v>31</v>
      </c>
      <c r="G80">
        <v>6</v>
      </c>
      <c r="H80">
        <v>4129</v>
      </c>
      <c r="I80">
        <v>97</v>
      </c>
      <c r="J80">
        <v>0</v>
      </c>
      <c r="K80">
        <v>1.3</v>
      </c>
      <c r="L80">
        <v>0.93819444444670808</v>
      </c>
      <c r="M80">
        <f t="shared" si="3"/>
        <v>0.81666666666569654</v>
      </c>
      <c r="N80" s="5">
        <v>56.585254999999897</v>
      </c>
      <c r="O80">
        <v>-6.6387809999999998</v>
      </c>
      <c r="P80">
        <v>45876.938194444447</v>
      </c>
      <c r="Q80" s="6">
        <v>3.1597029546840183E-2</v>
      </c>
      <c r="R80" s="6">
        <f t="shared" si="4"/>
        <v>1.1764583723048672E-2</v>
      </c>
      <c r="S80" s="6" t="e">
        <f t="shared" si="5"/>
        <v>#VALUE!</v>
      </c>
      <c r="T80">
        <v>16</v>
      </c>
      <c r="U80">
        <v>0</v>
      </c>
      <c r="V80">
        <v>0</v>
      </c>
      <c r="W80">
        <v>18</v>
      </c>
      <c r="X80">
        <v>0</v>
      </c>
      <c r="Y80">
        <v>0</v>
      </c>
      <c r="Z80">
        <v>0</v>
      </c>
      <c r="AA80">
        <v>-240</v>
      </c>
      <c r="AB80">
        <v>-109</v>
      </c>
      <c r="AC80">
        <v>1026</v>
      </c>
      <c r="AD80">
        <v>56.585254999999897</v>
      </c>
      <c r="AE80">
        <v>-6.638738</v>
      </c>
    </row>
    <row r="81" spans="1:31" x14ac:dyDescent="0.35">
      <c r="A81">
        <v>373489</v>
      </c>
      <c r="B81" s="2">
        <v>45876.695138888892</v>
      </c>
      <c r="C81" s="3">
        <v>45876</v>
      </c>
      <c r="D81" s="4">
        <v>0.69535879629629627</v>
      </c>
      <c r="E81">
        <v>0.69535879629629627</v>
      </c>
      <c r="F81" t="s">
        <v>31</v>
      </c>
      <c r="G81">
        <v>7</v>
      </c>
      <c r="H81">
        <v>4174</v>
      </c>
      <c r="I81">
        <v>100</v>
      </c>
      <c r="J81">
        <v>0</v>
      </c>
      <c r="K81">
        <v>1.1000000000000001</v>
      </c>
      <c r="L81">
        <v>0.69513888889196096</v>
      </c>
      <c r="M81">
        <f t="shared" si="3"/>
        <v>7.7083333337213844E-2</v>
      </c>
      <c r="N81" s="5">
        <v>56.585273999999899</v>
      </c>
      <c r="O81">
        <v>-6.638592</v>
      </c>
      <c r="P81">
        <v>45876.695138888892</v>
      </c>
      <c r="Q81" s="6">
        <v>3.112216116427315E-2</v>
      </c>
      <c r="R81" s="6">
        <f t="shared" si="4"/>
        <v>8.8754479493785218E-3</v>
      </c>
      <c r="S81" s="6" t="e">
        <f t="shared" si="5"/>
        <v>#VALUE!</v>
      </c>
      <c r="T81">
        <v>10</v>
      </c>
      <c r="U81">
        <v>0</v>
      </c>
      <c r="V81">
        <v>0</v>
      </c>
      <c r="W81">
        <v>23</v>
      </c>
      <c r="X81">
        <v>0</v>
      </c>
      <c r="Y81">
        <v>0</v>
      </c>
      <c r="Z81">
        <v>0</v>
      </c>
      <c r="AA81">
        <v>336</v>
      </c>
      <c r="AB81">
        <v>-318</v>
      </c>
      <c r="AC81">
        <v>984</v>
      </c>
      <c r="AD81">
        <v>56.58525649999995</v>
      </c>
      <c r="AE81">
        <v>-6.6386199999999995</v>
      </c>
    </row>
    <row r="82" spans="1:31" x14ac:dyDescent="0.35">
      <c r="A82">
        <v>373489</v>
      </c>
      <c r="B82" s="2">
        <v>45877.459027777775</v>
      </c>
      <c r="C82" s="3">
        <v>45877</v>
      </c>
      <c r="D82" s="4">
        <v>0.45937499999999998</v>
      </c>
      <c r="E82">
        <v>0.45937499999999998</v>
      </c>
      <c r="F82" t="s">
        <v>31</v>
      </c>
      <c r="G82">
        <v>6</v>
      </c>
      <c r="H82">
        <v>4038</v>
      </c>
      <c r="I82">
        <v>81</v>
      </c>
      <c r="J82">
        <v>0</v>
      </c>
      <c r="K82">
        <v>1.6</v>
      </c>
      <c r="L82">
        <v>0.45902777777519077</v>
      </c>
      <c r="M82">
        <f t="shared" si="3"/>
        <v>0.29236111111094942</v>
      </c>
      <c r="N82" s="5">
        <v>56.585258000000003</v>
      </c>
      <c r="O82">
        <v>-6.6384499999999997</v>
      </c>
      <c r="P82">
        <v>45877.459027777775</v>
      </c>
      <c r="Q82" s="6">
        <v>3.0872803369794644E-2</v>
      </c>
      <c r="R82" s="6">
        <f t="shared" si="4"/>
        <v>182.79273222199498</v>
      </c>
      <c r="S82" s="6" t="e">
        <f t="shared" si="5"/>
        <v>#VALUE!</v>
      </c>
      <c r="T82">
        <v>22</v>
      </c>
      <c r="U82">
        <v>0</v>
      </c>
      <c r="V82">
        <v>267</v>
      </c>
      <c r="W82">
        <v>18</v>
      </c>
      <c r="X82">
        <v>0</v>
      </c>
      <c r="Y82">
        <v>0</v>
      </c>
      <c r="Z82">
        <v>0</v>
      </c>
      <c r="AA82">
        <v>-174</v>
      </c>
      <c r="AB82">
        <v>126</v>
      </c>
      <c r="AC82">
        <v>1056</v>
      </c>
      <c r="AD82">
        <v>56.585240999999954</v>
      </c>
      <c r="AE82">
        <v>-6.6384214999999998</v>
      </c>
    </row>
    <row r="83" spans="1:31" x14ac:dyDescent="0.35">
      <c r="A83">
        <v>373489</v>
      </c>
      <c r="B83" s="2">
        <v>45879.125694444447</v>
      </c>
      <c r="C83" s="3">
        <v>45879</v>
      </c>
      <c r="D83" s="4">
        <v>0.12607638888888889</v>
      </c>
      <c r="E83">
        <v>0.12607638888888889</v>
      </c>
      <c r="F83" t="s">
        <v>31</v>
      </c>
      <c r="G83">
        <v>7</v>
      </c>
      <c r="H83">
        <v>3938</v>
      </c>
      <c r="I83">
        <v>65</v>
      </c>
      <c r="J83">
        <v>0</v>
      </c>
      <c r="K83">
        <v>1.4</v>
      </c>
      <c r="L83">
        <v>0.12569444444670808</v>
      </c>
      <c r="M83">
        <f t="shared" si="3"/>
        <v>6.6666666665696539E-2</v>
      </c>
      <c r="N83" s="5">
        <v>55.293522000000003</v>
      </c>
      <c r="O83">
        <v>-4.8226839999999997</v>
      </c>
      <c r="P83">
        <v>45879.125694444447</v>
      </c>
      <c r="Q83" s="6">
        <v>3.0734802957728229E-2</v>
      </c>
      <c r="R83" s="6">
        <f t="shared" si="4"/>
        <v>182.8025250725438</v>
      </c>
      <c r="S83" s="6" t="e">
        <f t="shared" si="5"/>
        <v>#VALUE!</v>
      </c>
      <c r="T83">
        <v>38</v>
      </c>
      <c r="U83">
        <v>0</v>
      </c>
      <c r="V83">
        <v>0</v>
      </c>
      <c r="W83">
        <v>19</v>
      </c>
      <c r="X83">
        <v>0</v>
      </c>
      <c r="Y83">
        <v>0</v>
      </c>
      <c r="Z83">
        <v>0</v>
      </c>
      <c r="AA83">
        <v>-128</v>
      </c>
      <c r="AB83">
        <v>-106</v>
      </c>
      <c r="AC83">
        <v>1042</v>
      </c>
      <c r="AD83">
        <v>55.293536999999951</v>
      </c>
      <c r="AE83">
        <v>-4.8227604999999993</v>
      </c>
    </row>
    <row r="84" spans="1:31" x14ac:dyDescent="0.35">
      <c r="A84">
        <v>373489</v>
      </c>
      <c r="B84" s="2">
        <v>45877.007638888892</v>
      </c>
      <c r="C84" s="3">
        <v>45877</v>
      </c>
      <c r="D84" s="4">
        <v>7.8125E-3</v>
      </c>
      <c r="E84">
        <v>7.8125E-3</v>
      </c>
      <c r="F84" t="s">
        <v>31</v>
      </c>
      <c r="G84">
        <v>6</v>
      </c>
      <c r="H84">
        <v>4120</v>
      </c>
      <c r="I84">
        <v>95</v>
      </c>
      <c r="J84">
        <v>0</v>
      </c>
      <c r="K84">
        <v>1.6</v>
      </c>
      <c r="L84">
        <v>7.6388888919609599E-3</v>
      </c>
      <c r="M84">
        <f t="shared" si="3"/>
        <v>0.26805555555620231</v>
      </c>
      <c r="N84" s="5">
        <v>56.585251</v>
      </c>
      <c r="O84">
        <v>-6.6387200000000002</v>
      </c>
      <c r="P84">
        <v>45877.007638888892</v>
      </c>
      <c r="Q84" s="6">
        <v>3.0709586430089045E-2</v>
      </c>
      <c r="R84" s="6">
        <f t="shared" si="4"/>
        <v>2.1153261158571406E-2</v>
      </c>
      <c r="S84" s="6" t="e">
        <f t="shared" si="5"/>
        <v>#VALUE!</v>
      </c>
      <c r="T84">
        <v>18</v>
      </c>
      <c r="U84">
        <v>0</v>
      </c>
      <c r="V84">
        <v>176</v>
      </c>
      <c r="W84">
        <v>17</v>
      </c>
      <c r="X84">
        <v>0</v>
      </c>
      <c r="Y84">
        <v>0</v>
      </c>
      <c r="Z84">
        <v>0</v>
      </c>
      <c r="AA84">
        <v>-112</v>
      </c>
      <c r="AB84">
        <v>-51</v>
      </c>
      <c r="AC84">
        <v>1046</v>
      </c>
      <c r="AD84">
        <v>56.585273999999949</v>
      </c>
      <c r="AE84">
        <v>-6.6387214999999999</v>
      </c>
    </row>
    <row r="85" spans="1:31" x14ac:dyDescent="0.35">
      <c r="A85">
        <v>373489</v>
      </c>
      <c r="B85" s="2">
        <v>45877.52847222222</v>
      </c>
      <c r="C85" s="3">
        <v>45877</v>
      </c>
      <c r="D85" s="4">
        <v>0.52865740740740741</v>
      </c>
      <c r="E85">
        <v>0.52865740740740741</v>
      </c>
      <c r="F85" t="s">
        <v>31</v>
      </c>
      <c r="G85">
        <v>5</v>
      </c>
      <c r="H85">
        <v>4027</v>
      </c>
      <c r="I85">
        <v>80</v>
      </c>
      <c r="J85">
        <v>0</v>
      </c>
      <c r="K85">
        <v>1.4</v>
      </c>
      <c r="L85">
        <v>0.52847222222044365</v>
      </c>
      <c r="M85">
        <f t="shared" si="3"/>
        <v>0.41041666666569654</v>
      </c>
      <c r="N85" s="5">
        <v>56.5851779999999</v>
      </c>
      <c r="O85">
        <v>-6.638401</v>
      </c>
      <c r="P85">
        <v>45877.52847222222</v>
      </c>
      <c r="Q85" s="6">
        <v>3.0691998910689765E-2</v>
      </c>
      <c r="R85" s="6">
        <f t="shared" si="4"/>
        <v>1.6815845355884568E-2</v>
      </c>
      <c r="S85" s="6" t="e">
        <f t="shared" si="5"/>
        <v>#VALUE!</v>
      </c>
      <c r="T85">
        <v>31</v>
      </c>
      <c r="U85">
        <v>0</v>
      </c>
      <c r="V85">
        <v>329</v>
      </c>
      <c r="W85">
        <v>19</v>
      </c>
      <c r="X85">
        <v>0</v>
      </c>
      <c r="Y85">
        <v>0</v>
      </c>
      <c r="Z85">
        <v>0</v>
      </c>
      <c r="AA85">
        <v>87</v>
      </c>
      <c r="AB85">
        <v>91</v>
      </c>
      <c r="AC85">
        <v>634</v>
      </c>
      <c r="AD85">
        <v>56.585200999999898</v>
      </c>
      <c r="AE85">
        <v>-6.6384004999999995</v>
      </c>
    </row>
    <row r="86" spans="1:31" x14ac:dyDescent="0.35">
      <c r="A86">
        <v>373489</v>
      </c>
      <c r="B86" s="2">
        <v>45877.292361111111</v>
      </c>
      <c r="C86" s="3">
        <v>45877</v>
      </c>
      <c r="D86" s="4">
        <v>0.29258101851851853</v>
      </c>
      <c r="E86">
        <v>0.29258101851851853</v>
      </c>
      <c r="F86" t="s">
        <v>31</v>
      </c>
      <c r="G86">
        <v>6</v>
      </c>
      <c r="H86">
        <v>4069</v>
      </c>
      <c r="I86">
        <v>87</v>
      </c>
      <c r="J86">
        <v>0</v>
      </c>
      <c r="K86">
        <v>1.4</v>
      </c>
      <c r="L86">
        <v>0.29236111111094942</v>
      </c>
      <c r="M86">
        <f t="shared" si="3"/>
        <v>0.29930555555620231</v>
      </c>
      <c r="N86" s="5">
        <v>56.585323000000002</v>
      </c>
      <c r="O86">
        <v>-6.6384790000000002</v>
      </c>
      <c r="P86">
        <v>45877.292361111111</v>
      </c>
      <c r="Q86" s="6">
        <v>3.040470539771117E-2</v>
      </c>
      <c r="R86" s="6">
        <f t="shared" si="4"/>
        <v>2.1996549717701328E-3</v>
      </c>
      <c r="S86" s="6" t="e">
        <f t="shared" si="5"/>
        <v>#VALUE!</v>
      </c>
      <c r="T86">
        <v>15</v>
      </c>
      <c r="U86">
        <v>0</v>
      </c>
      <c r="V86">
        <v>330</v>
      </c>
      <c r="W86">
        <v>18</v>
      </c>
      <c r="X86">
        <v>0</v>
      </c>
      <c r="Y86">
        <v>0</v>
      </c>
      <c r="Z86">
        <v>0</v>
      </c>
      <c r="AA86">
        <v>-201</v>
      </c>
      <c r="AB86">
        <v>-419</v>
      </c>
      <c r="AC86">
        <v>939</v>
      </c>
      <c r="AD86">
        <v>56.585340499999951</v>
      </c>
      <c r="AE86">
        <v>-6.6385054999999999</v>
      </c>
    </row>
    <row r="87" spans="1:31" x14ac:dyDescent="0.35">
      <c r="A87">
        <v>373489</v>
      </c>
      <c r="B87" s="2">
        <v>45877.306250000001</v>
      </c>
      <c r="C87" s="3">
        <v>45877</v>
      </c>
      <c r="D87" s="4">
        <v>0.3064351851851852</v>
      </c>
      <c r="E87">
        <v>0.3064351851851852</v>
      </c>
      <c r="F87" t="s">
        <v>31</v>
      </c>
      <c r="G87">
        <v>5</v>
      </c>
      <c r="H87">
        <v>4069</v>
      </c>
      <c r="I87">
        <v>87</v>
      </c>
      <c r="J87">
        <v>0</v>
      </c>
      <c r="K87">
        <v>1.6</v>
      </c>
      <c r="L87">
        <v>0.30625000000145519</v>
      </c>
      <c r="M87">
        <f t="shared" si="3"/>
        <v>0.44166666666569654</v>
      </c>
      <c r="N87" s="5">
        <v>56.585341999999898</v>
      </c>
      <c r="O87">
        <v>-6.6384889999999999</v>
      </c>
      <c r="P87">
        <v>45877.306250000001</v>
      </c>
      <c r="Q87" s="6">
        <v>3.0264461283548032E-2</v>
      </c>
      <c r="R87" s="6">
        <f t="shared" si="4"/>
        <v>2.2756622836304745E-2</v>
      </c>
      <c r="S87" s="6" t="e">
        <f t="shared" si="5"/>
        <v>#VALUE!</v>
      </c>
      <c r="T87">
        <v>14</v>
      </c>
      <c r="U87">
        <v>0</v>
      </c>
      <c r="V87">
        <v>0</v>
      </c>
      <c r="W87">
        <v>19</v>
      </c>
      <c r="X87">
        <v>0</v>
      </c>
      <c r="Y87">
        <v>0</v>
      </c>
      <c r="Z87">
        <v>0</v>
      </c>
      <c r="AA87">
        <v>-193</v>
      </c>
      <c r="AB87">
        <v>-498</v>
      </c>
      <c r="AC87">
        <v>919</v>
      </c>
      <c r="AD87">
        <v>56.585353499999954</v>
      </c>
      <c r="AE87">
        <v>-6.6385244999999999</v>
      </c>
    </row>
    <row r="88" spans="1:31" x14ac:dyDescent="0.35">
      <c r="A88">
        <v>373489</v>
      </c>
      <c r="B88" s="2">
        <v>45877.57708333333</v>
      </c>
      <c r="C88" s="3">
        <v>45877</v>
      </c>
      <c r="D88" s="4">
        <v>0.57746527777777779</v>
      </c>
      <c r="E88">
        <v>0.57746527777777779</v>
      </c>
      <c r="F88" t="s">
        <v>31</v>
      </c>
      <c r="G88">
        <v>5</v>
      </c>
      <c r="H88">
        <v>4015</v>
      </c>
      <c r="I88">
        <v>78</v>
      </c>
      <c r="J88">
        <v>0</v>
      </c>
      <c r="K88">
        <v>1.8</v>
      </c>
      <c r="L88">
        <v>0.57708333332993789</v>
      </c>
      <c r="M88">
        <f t="shared" si="3"/>
        <v>0.226388888884685</v>
      </c>
      <c r="N88" s="5">
        <v>56.585155</v>
      </c>
      <c r="O88">
        <v>-6.6383380000000001</v>
      </c>
      <c r="P88">
        <v>45877.57708333333</v>
      </c>
      <c r="Q88" s="6">
        <v>3.0251286640101335E-2</v>
      </c>
      <c r="R88" s="6">
        <f t="shared" si="4"/>
        <v>2.3315505499070584E-2</v>
      </c>
      <c r="S88" s="6" t="e">
        <f t="shared" si="5"/>
        <v>#VALUE!</v>
      </c>
      <c r="T88">
        <v>18</v>
      </c>
      <c r="U88">
        <v>0</v>
      </c>
      <c r="V88">
        <v>0</v>
      </c>
      <c r="W88">
        <v>20</v>
      </c>
      <c r="X88">
        <v>0</v>
      </c>
      <c r="Y88">
        <v>0</v>
      </c>
      <c r="Z88">
        <v>0</v>
      </c>
      <c r="AA88">
        <v>-237</v>
      </c>
      <c r="AB88">
        <v>-117</v>
      </c>
      <c r="AC88">
        <v>1030</v>
      </c>
      <c r="AD88">
        <v>56.585174500000001</v>
      </c>
      <c r="AE88">
        <v>-6.6383170000000007</v>
      </c>
    </row>
    <row r="89" spans="1:31" x14ac:dyDescent="0.35">
      <c r="A89">
        <v>373489</v>
      </c>
      <c r="B89" s="2">
        <v>45876.875694444447</v>
      </c>
      <c r="C89" s="3">
        <v>45876</v>
      </c>
      <c r="D89" s="4">
        <v>0.87586805555555558</v>
      </c>
      <c r="E89">
        <v>0.87586805555555558</v>
      </c>
      <c r="F89" t="s">
        <v>31</v>
      </c>
      <c r="G89">
        <v>4</v>
      </c>
      <c r="H89">
        <v>4140</v>
      </c>
      <c r="I89">
        <v>98</v>
      </c>
      <c r="J89">
        <v>0</v>
      </c>
      <c r="K89">
        <v>1.7</v>
      </c>
      <c r="L89">
        <v>0.87569444444670808</v>
      </c>
      <c r="M89">
        <f t="shared" si="3"/>
        <v>7.6388888846850023E-3</v>
      </c>
      <c r="N89" s="5">
        <v>56.58522</v>
      </c>
      <c r="O89">
        <v>-6.6387</v>
      </c>
      <c r="P89">
        <v>45876.875694444447</v>
      </c>
      <c r="Q89" s="6">
        <v>3.0247428790850839E-2</v>
      </c>
      <c r="R89" s="6">
        <f t="shared" si="4"/>
        <v>9.4902914138179986E-3</v>
      </c>
      <c r="S89" s="6" t="e">
        <f t="shared" si="5"/>
        <v>#VALUE!</v>
      </c>
      <c r="T89">
        <v>13</v>
      </c>
      <c r="U89">
        <v>6</v>
      </c>
      <c r="V89">
        <v>340</v>
      </c>
      <c r="W89">
        <v>18</v>
      </c>
      <c r="X89">
        <v>0</v>
      </c>
      <c r="Y89">
        <v>0</v>
      </c>
      <c r="Z89">
        <v>0</v>
      </c>
      <c r="AA89">
        <v>-188</v>
      </c>
      <c r="AB89">
        <v>-195</v>
      </c>
      <c r="AC89">
        <v>1020</v>
      </c>
      <c r="AD89">
        <v>56.585240999999996</v>
      </c>
      <c r="AE89">
        <v>-6.6387155</v>
      </c>
    </row>
    <row r="90" spans="1:31" x14ac:dyDescent="0.35">
      <c r="A90">
        <v>373489</v>
      </c>
      <c r="B90" s="2">
        <v>45877.13958333333</v>
      </c>
      <c r="C90" s="3">
        <v>45877</v>
      </c>
      <c r="D90" s="4">
        <v>0.13988425925925926</v>
      </c>
      <c r="E90">
        <v>0.13988425925925926</v>
      </c>
      <c r="F90" t="s">
        <v>31</v>
      </c>
      <c r="G90">
        <v>6</v>
      </c>
      <c r="H90">
        <v>4098</v>
      </c>
      <c r="I90">
        <v>91</v>
      </c>
      <c r="J90">
        <v>0</v>
      </c>
      <c r="K90">
        <v>1.6</v>
      </c>
      <c r="L90">
        <v>0.13958333332993789</v>
      </c>
      <c r="M90">
        <f t="shared" si="3"/>
        <v>0.36180555555620231</v>
      </c>
      <c r="N90" s="5">
        <v>56.585299999999897</v>
      </c>
      <c r="O90">
        <v>-6.6387539999999996</v>
      </c>
      <c r="P90">
        <v>45877.13958333333</v>
      </c>
      <c r="Q90" s="6">
        <v>3.0031621259327481E-2</v>
      </c>
      <c r="R90" s="6">
        <f t="shared" si="4"/>
        <v>3.042156517871639E-2</v>
      </c>
      <c r="S90" s="6" t="e">
        <f t="shared" si="5"/>
        <v>#VALUE!</v>
      </c>
      <c r="T90">
        <v>17</v>
      </c>
      <c r="U90">
        <v>0</v>
      </c>
      <c r="V90">
        <v>0</v>
      </c>
      <c r="W90">
        <v>15</v>
      </c>
      <c r="X90">
        <v>0</v>
      </c>
      <c r="Y90">
        <v>0</v>
      </c>
      <c r="Z90">
        <v>0</v>
      </c>
      <c r="AA90">
        <v>-165</v>
      </c>
      <c r="AB90">
        <v>-395</v>
      </c>
      <c r="AC90">
        <v>958</v>
      </c>
      <c r="AD90">
        <v>56.585277499999897</v>
      </c>
      <c r="AE90">
        <v>-6.6387549999999997</v>
      </c>
    </row>
    <row r="91" spans="1:31" x14ac:dyDescent="0.35">
      <c r="A91">
        <v>373489</v>
      </c>
      <c r="B91" s="2">
        <v>45877.584027777775</v>
      </c>
      <c r="C91" s="3">
        <v>45877</v>
      </c>
      <c r="D91" s="4">
        <v>0.58421296296296299</v>
      </c>
      <c r="E91">
        <v>0.58421296296296299</v>
      </c>
      <c r="F91" t="s">
        <v>31</v>
      </c>
      <c r="G91">
        <v>5</v>
      </c>
      <c r="H91">
        <v>4015</v>
      </c>
      <c r="I91">
        <v>78</v>
      </c>
      <c r="J91">
        <v>0</v>
      </c>
      <c r="K91">
        <v>1.9</v>
      </c>
      <c r="L91">
        <v>0.58402777777519077</v>
      </c>
      <c r="M91">
        <f t="shared" si="3"/>
        <v>0.59444444444670808</v>
      </c>
      <c r="N91" s="5">
        <v>56.585194000000001</v>
      </c>
      <c r="O91">
        <v>-6.6382960000000004</v>
      </c>
      <c r="P91">
        <v>45877.584027777775</v>
      </c>
      <c r="Q91" s="6">
        <v>2.9262264326738743E-2</v>
      </c>
      <c r="R91" s="6">
        <f t="shared" si="4"/>
        <v>7.4626021581026651E-3</v>
      </c>
      <c r="S91" s="6" t="e">
        <f t="shared" si="5"/>
        <v>#VALUE!</v>
      </c>
      <c r="T91">
        <v>36</v>
      </c>
      <c r="U91">
        <v>0</v>
      </c>
      <c r="V91">
        <v>0</v>
      </c>
      <c r="W91">
        <v>24</v>
      </c>
      <c r="X91">
        <v>0</v>
      </c>
      <c r="Y91">
        <v>0</v>
      </c>
      <c r="Z91">
        <v>0</v>
      </c>
      <c r="AA91">
        <v>-143</v>
      </c>
      <c r="AB91">
        <v>-79</v>
      </c>
      <c r="AC91">
        <v>1046</v>
      </c>
      <c r="AD91">
        <v>56.585176499999946</v>
      </c>
      <c r="AE91">
        <v>-6.6382720000000006</v>
      </c>
    </row>
    <row r="92" spans="1:31" x14ac:dyDescent="0.35">
      <c r="A92">
        <v>373489</v>
      </c>
      <c r="B92" s="2">
        <v>45877.604861111111</v>
      </c>
      <c r="C92" s="3">
        <v>45877</v>
      </c>
      <c r="D92" s="4">
        <v>0.60504629629629625</v>
      </c>
      <c r="E92">
        <v>0.60504629629629625</v>
      </c>
      <c r="F92" t="s">
        <v>31</v>
      </c>
      <c r="G92">
        <v>5</v>
      </c>
      <c r="H92">
        <v>4009</v>
      </c>
      <c r="I92">
        <v>77</v>
      </c>
      <c r="J92">
        <v>0</v>
      </c>
      <c r="K92">
        <v>1.6</v>
      </c>
      <c r="L92">
        <v>0.60486111111094942</v>
      </c>
      <c r="M92">
        <f t="shared" si="3"/>
        <v>9.4444444453984033E-2</v>
      </c>
      <c r="N92" s="5">
        <v>56.585186</v>
      </c>
      <c r="O92">
        <v>-6.6381750000000004</v>
      </c>
      <c r="P92">
        <v>45877.604861111111</v>
      </c>
      <c r="Q92" s="6">
        <v>2.9121543551807794E-2</v>
      </c>
      <c r="R92" s="6">
        <f t="shared" si="4"/>
        <v>9.0424941538722756E-2</v>
      </c>
      <c r="S92" s="6" t="e">
        <f t="shared" si="5"/>
        <v>#VALUE!</v>
      </c>
      <c r="T92">
        <v>19</v>
      </c>
      <c r="U92">
        <v>0</v>
      </c>
      <c r="V92">
        <v>0</v>
      </c>
      <c r="W92">
        <v>22</v>
      </c>
      <c r="X92">
        <v>0</v>
      </c>
      <c r="Y92">
        <v>0</v>
      </c>
      <c r="Z92">
        <v>0</v>
      </c>
      <c r="AA92">
        <v>61</v>
      </c>
      <c r="AB92">
        <v>-157</v>
      </c>
      <c r="AC92">
        <v>1048</v>
      </c>
      <c r="AD92">
        <v>56.585166999999949</v>
      </c>
      <c r="AE92">
        <v>-6.6381554999999999</v>
      </c>
    </row>
    <row r="93" spans="1:31" x14ac:dyDescent="0.35">
      <c r="A93">
        <v>373489</v>
      </c>
      <c r="B93" s="2">
        <v>45876.584027777775</v>
      </c>
      <c r="C93" s="3">
        <v>45876</v>
      </c>
      <c r="D93" s="4">
        <v>0.5841898148148148</v>
      </c>
      <c r="E93">
        <v>0.5841898148148148</v>
      </c>
      <c r="F93" t="s">
        <v>31</v>
      </c>
      <c r="G93">
        <v>7</v>
      </c>
      <c r="H93">
        <v>4186</v>
      </c>
      <c r="I93">
        <v>100</v>
      </c>
      <c r="J93">
        <v>1</v>
      </c>
      <c r="K93">
        <v>1.1000000000000001</v>
      </c>
      <c r="L93">
        <v>0.58402777777519077</v>
      </c>
      <c r="M93">
        <f t="shared" si="3"/>
        <v>1.0416666773380712E-3</v>
      </c>
      <c r="N93" s="5">
        <v>56.584933999999897</v>
      </c>
      <c r="O93">
        <v>-6.6395790000000003</v>
      </c>
      <c r="P93">
        <v>45876.584027777797</v>
      </c>
      <c r="Q93" s="6">
        <v>2.9007544512000005E-2</v>
      </c>
      <c r="R93" s="6">
        <f t="shared" si="4"/>
        <v>7.9265702004719177E-2</v>
      </c>
      <c r="S93" s="6">
        <f>R93</f>
        <v>7.9265702004719177E-2</v>
      </c>
      <c r="T93">
        <v>9</v>
      </c>
      <c r="U93">
        <v>0</v>
      </c>
      <c r="V93">
        <v>0</v>
      </c>
      <c r="W93">
        <v>21</v>
      </c>
      <c r="X93">
        <v>0</v>
      </c>
      <c r="Y93">
        <v>0</v>
      </c>
      <c r="Z93">
        <v>0</v>
      </c>
      <c r="AA93">
        <v>81</v>
      </c>
      <c r="AB93">
        <v>207</v>
      </c>
      <c r="AC93">
        <v>1039</v>
      </c>
      <c r="AD93">
        <v>56.584945499999947</v>
      </c>
      <c r="AE93">
        <v>-6.6396125000000001</v>
      </c>
    </row>
    <row r="94" spans="1:31" x14ac:dyDescent="0.35">
      <c r="A94">
        <v>373489</v>
      </c>
      <c r="B94" s="2">
        <v>45877.418055555558</v>
      </c>
      <c r="C94" s="3">
        <v>45877</v>
      </c>
      <c r="D94" s="4">
        <v>0.41843750000000002</v>
      </c>
      <c r="E94">
        <v>0.41843750000000002</v>
      </c>
      <c r="F94" t="s">
        <v>31</v>
      </c>
      <c r="G94">
        <v>6</v>
      </c>
      <c r="H94">
        <v>4055</v>
      </c>
      <c r="I94">
        <v>84</v>
      </c>
      <c r="J94">
        <v>0</v>
      </c>
      <c r="K94">
        <v>1.1000000000000001</v>
      </c>
      <c r="L94">
        <v>0.4180555555576575</v>
      </c>
      <c r="M94">
        <f t="shared" si="3"/>
        <v>0.55659722222480923</v>
      </c>
      <c r="N94" s="5">
        <v>56.585247000000003</v>
      </c>
      <c r="O94">
        <v>-6.6384160000000003</v>
      </c>
      <c r="P94">
        <v>45877.418055555558</v>
      </c>
      <c r="Q94" s="6">
        <v>2.8932542721488888E-2</v>
      </c>
      <c r="R94" s="6">
        <f t="shared" si="4"/>
        <v>1.6652361488729166E-2</v>
      </c>
      <c r="S94" s="6">
        <f t="shared" ref="S94:S157" si="6">S93+R94</f>
        <v>9.5918063493448336E-2</v>
      </c>
      <c r="T94">
        <v>18</v>
      </c>
      <c r="U94">
        <v>0</v>
      </c>
      <c r="V94">
        <v>0</v>
      </c>
      <c r="W94">
        <v>19</v>
      </c>
      <c r="X94">
        <v>0</v>
      </c>
      <c r="Y94">
        <v>0</v>
      </c>
      <c r="Z94">
        <v>0</v>
      </c>
      <c r="AA94">
        <v>-152</v>
      </c>
      <c r="AB94">
        <v>-36</v>
      </c>
      <c r="AC94">
        <v>1056</v>
      </c>
      <c r="AD94">
        <v>56.585241500000002</v>
      </c>
      <c r="AE94">
        <v>-6.638382</v>
      </c>
    </row>
    <row r="95" spans="1:31" x14ac:dyDescent="0.35">
      <c r="A95">
        <v>373489</v>
      </c>
      <c r="B95" s="2">
        <v>45877.695138888892</v>
      </c>
      <c r="C95" s="3">
        <v>45877</v>
      </c>
      <c r="D95" s="4">
        <v>0.6953125</v>
      </c>
      <c r="E95">
        <v>0.6953125</v>
      </c>
      <c r="F95" t="s">
        <v>31</v>
      </c>
      <c r="G95">
        <v>7</v>
      </c>
      <c r="H95">
        <v>4009</v>
      </c>
      <c r="I95">
        <v>77</v>
      </c>
      <c r="J95">
        <v>0</v>
      </c>
      <c r="K95">
        <v>1.3</v>
      </c>
      <c r="L95">
        <v>0.69513888889196096</v>
      </c>
      <c r="M95">
        <f t="shared" si="3"/>
        <v>0.50763888889196096</v>
      </c>
      <c r="N95" s="5">
        <v>56.585113999999898</v>
      </c>
      <c r="O95">
        <v>-6.6382909999999997</v>
      </c>
      <c r="P95">
        <v>45877.695138888892</v>
      </c>
      <c r="Q95" s="6">
        <v>2.8695135149666207E-2</v>
      </c>
      <c r="R95" s="6">
        <f t="shared" si="4"/>
        <v>2.7028096482455823E-2</v>
      </c>
      <c r="S95" s="6">
        <f t="shared" si="6"/>
        <v>0.12294615997590416</v>
      </c>
      <c r="T95">
        <v>14</v>
      </c>
      <c r="U95">
        <v>0</v>
      </c>
      <c r="V95">
        <v>325</v>
      </c>
      <c r="W95">
        <v>22</v>
      </c>
      <c r="X95">
        <v>0</v>
      </c>
      <c r="Y95">
        <v>0</v>
      </c>
      <c r="Z95">
        <v>0</v>
      </c>
      <c r="AA95">
        <v>-186</v>
      </c>
      <c r="AB95">
        <v>-90</v>
      </c>
      <c r="AC95">
        <v>1036</v>
      </c>
      <c r="AD95">
        <v>56.585107999999899</v>
      </c>
      <c r="AE95">
        <v>-6.6382534999999994</v>
      </c>
    </row>
    <row r="96" spans="1:31" x14ac:dyDescent="0.35">
      <c r="A96">
        <v>373489</v>
      </c>
      <c r="B96" s="2">
        <v>45877.320138888892</v>
      </c>
      <c r="C96" s="3">
        <v>45877</v>
      </c>
      <c r="D96" s="4">
        <v>0.32037037037037036</v>
      </c>
      <c r="E96">
        <v>0.32037037037037036</v>
      </c>
      <c r="F96" t="s">
        <v>31</v>
      </c>
      <c r="G96">
        <v>5</v>
      </c>
      <c r="H96">
        <v>4069</v>
      </c>
      <c r="I96">
        <v>87</v>
      </c>
      <c r="J96">
        <v>0</v>
      </c>
      <c r="K96">
        <v>1.9</v>
      </c>
      <c r="L96">
        <v>0.32013888889196096</v>
      </c>
      <c r="M96">
        <f t="shared" si="3"/>
        <v>0.25416666666569654</v>
      </c>
      <c r="N96" s="5">
        <v>56.585338999999898</v>
      </c>
      <c r="O96">
        <v>-6.638458</v>
      </c>
      <c r="P96">
        <v>45877.320138888892</v>
      </c>
      <c r="Q96" s="6">
        <v>2.8403228910717362E-2</v>
      </c>
      <c r="R96" s="6">
        <f t="shared" si="4"/>
        <v>2.0441826614536161E-2</v>
      </c>
      <c r="S96" s="6">
        <f t="shared" si="6"/>
        <v>0.14338798659044033</v>
      </c>
      <c r="T96">
        <v>14</v>
      </c>
      <c r="U96">
        <v>0</v>
      </c>
      <c r="V96">
        <v>201</v>
      </c>
      <c r="W96">
        <v>17</v>
      </c>
      <c r="X96">
        <v>0</v>
      </c>
      <c r="Y96">
        <v>0</v>
      </c>
      <c r="Z96">
        <v>0</v>
      </c>
      <c r="AA96">
        <v>-75</v>
      </c>
      <c r="AB96">
        <v>366</v>
      </c>
      <c r="AC96">
        <v>988</v>
      </c>
      <c r="AD96">
        <v>56.585319499999898</v>
      </c>
      <c r="AE96">
        <v>-6.6384425</v>
      </c>
    </row>
    <row r="97" spans="1:31" x14ac:dyDescent="0.35">
      <c r="A97">
        <v>373489</v>
      </c>
      <c r="B97" s="2">
        <v>45877.188194444447</v>
      </c>
      <c r="C97" s="3">
        <v>45877</v>
      </c>
      <c r="D97" s="4">
        <v>0.18839120370370371</v>
      </c>
      <c r="E97">
        <v>0.18839120370370371</v>
      </c>
      <c r="F97" t="s">
        <v>31</v>
      </c>
      <c r="G97">
        <v>5</v>
      </c>
      <c r="H97">
        <v>4089</v>
      </c>
      <c r="I97">
        <v>90</v>
      </c>
      <c r="J97">
        <v>0</v>
      </c>
      <c r="K97">
        <v>2</v>
      </c>
      <c r="L97">
        <v>0.18819444444670808</v>
      </c>
      <c r="M97">
        <f t="shared" si="3"/>
        <v>0.29583333333721384</v>
      </c>
      <c r="N97" s="5">
        <v>56.585296999999898</v>
      </c>
      <c r="O97">
        <v>-6.6387830000000001</v>
      </c>
      <c r="P97">
        <v>45877.188194444447</v>
      </c>
      <c r="Q97" s="6">
        <v>2.8138899449568881E-2</v>
      </c>
      <c r="R97" s="6">
        <f t="shared" si="4"/>
        <v>2.3060024172400193E-2</v>
      </c>
      <c r="S97" s="6">
        <f t="shared" si="6"/>
        <v>0.16644801076284052</v>
      </c>
      <c r="T97">
        <v>8</v>
      </c>
      <c r="U97">
        <v>0</v>
      </c>
      <c r="V97">
        <v>0</v>
      </c>
      <c r="W97">
        <v>16</v>
      </c>
      <c r="X97">
        <v>0</v>
      </c>
      <c r="Y97">
        <v>0</v>
      </c>
      <c r="Z97">
        <v>0</v>
      </c>
      <c r="AA97">
        <v>-242</v>
      </c>
      <c r="AB97">
        <v>-431</v>
      </c>
      <c r="AC97">
        <v>927</v>
      </c>
      <c r="AD97">
        <v>56.585275999999894</v>
      </c>
      <c r="AE97">
        <v>-6.6387795000000001</v>
      </c>
    </row>
    <row r="98" spans="1:31" x14ac:dyDescent="0.35">
      <c r="A98">
        <v>373489</v>
      </c>
      <c r="B98" s="2">
        <v>45877.40347222222</v>
      </c>
      <c r="C98" s="3">
        <v>45877</v>
      </c>
      <c r="D98" s="4">
        <v>0.40369212962962964</v>
      </c>
      <c r="E98">
        <v>0.40369212962962964</v>
      </c>
      <c r="F98" t="s">
        <v>31</v>
      </c>
      <c r="G98">
        <v>5</v>
      </c>
      <c r="H98">
        <v>4058</v>
      </c>
      <c r="I98">
        <v>85</v>
      </c>
      <c r="J98">
        <v>0</v>
      </c>
      <c r="K98">
        <v>1.3</v>
      </c>
      <c r="L98">
        <v>0.40347222222044365</v>
      </c>
      <c r="M98">
        <f t="shared" si="3"/>
        <v>0.12916666666569654</v>
      </c>
      <c r="N98" s="5">
        <v>56.5852089999999</v>
      </c>
      <c r="O98">
        <v>-6.6384420000000004</v>
      </c>
      <c r="P98">
        <v>45877.40347222222</v>
      </c>
      <c r="Q98" s="6">
        <v>2.8030754674221687E-2</v>
      </c>
      <c r="R98" s="6">
        <f t="shared" si="4"/>
        <v>1.8072347842227113E-2</v>
      </c>
      <c r="S98" s="6">
        <f t="shared" si="6"/>
        <v>0.18452035860506763</v>
      </c>
      <c r="T98">
        <v>13</v>
      </c>
      <c r="U98">
        <v>0</v>
      </c>
      <c r="V98">
        <v>0</v>
      </c>
      <c r="W98">
        <v>19</v>
      </c>
      <c r="X98">
        <v>0</v>
      </c>
      <c r="Y98">
        <v>0</v>
      </c>
      <c r="Z98">
        <v>0</v>
      </c>
      <c r="AA98">
        <v>-177</v>
      </c>
      <c r="AB98">
        <v>-164</v>
      </c>
      <c r="AC98">
        <v>1020</v>
      </c>
      <c r="AD98">
        <v>56.585229999999953</v>
      </c>
      <c r="AE98">
        <v>-6.6384430000000005</v>
      </c>
    </row>
    <row r="99" spans="1:31" x14ac:dyDescent="0.35">
      <c r="A99">
        <v>373489</v>
      </c>
      <c r="B99" s="2">
        <v>45876.854861111111</v>
      </c>
      <c r="C99" s="3">
        <v>45876</v>
      </c>
      <c r="D99" s="4">
        <v>0.8550578703703704</v>
      </c>
      <c r="E99">
        <v>0.8550578703703704</v>
      </c>
      <c r="F99" t="s">
        <v>31</v>
      </c>
      <c r="G99">
        <v>4</v>
      </c>
      <c r="H99">
        <v>4143</v>
      </c>
      <c r="I99">
        <v>99</v>
      </c>
      <c r="J99">
        <v>0</v>
      </c>
      <c r="K99">
        <v>1.6</v>
      </c>
      <c r="L99">
        <v>0.85486111111094942</v>
      </c>
      <c r="M99">
        <f t="shared" si="3"/>
        <v>0.71597222222044365</v>
      </c>
      <c r="N99" s="5">
        <v>56.585262</v>
      </c>
      <c r="O99">
        <v>-6.6387210000000003</v>
      </c>
      <c r="P99">
        <v>45876.854861111111</v>
      </c>
      <c r="Q99" s="6">
        <v>2.7643198027623845E-2</v>
      </c>
      <c r="R99" s="6">
        <f t="shared" si="4"/>
        <v>4.699236759121643E-2</v>
      </c>
      <c r="S99" s="6">
        <f t="shared" si="6"/>
        <v>0.23151272619628405</v>
      </c>
      <c r="T99">
        <v>14</v>
      </c>
      <c r="U99">
        <v>0</v>
      </c>
      <c r="V99">
        <v>0</v>
      </c>
      <c r="W99">
        <v>18</v>
      </c>
      <c r="X99">
        <v>0</v>
      </c>
      <c r="Y99">
        <v>0</v>
      </c>
      <c r="Z99">
        <v>0</v>
      </c>
      <c r="AA99">
        <v>-206</v>
      </c>
      <c r="AB99">
        <v>-59</v>
      </c>
      <c r="AC99">
        <v>1040</v>
      </c>
      <c r="AD99">
        <v>56.585245</v>
      </c>
      <c r="AE99">
        <v>-6.6387425000000002</v>
      </c>
    </row>
    <row r="100" spans="1:31" x14ac:dyDescent="0.35">
      <c r="A100">
        <v>373489</v>
      </c>
      <c r="B100" s="2">
        <v>45878.57708333333</v>
      </c>
      <c r="C100" s="3">
        <v>45878</v>
      </c>
      <c r="D100" s="4">
        <v>0.57728009259259261</v>
      </c>
      <c r="E100">
        <v>0.57728009259259261</v>
      </c>
      <c r="F100" t="s">
        <v>31</v>
      </c>
      <c r="G100">
        <v>6</v>
      </c>
      <c r="H100">
        <v>3984</v>
      </c>
      <c r="I100">
        <v>72</v>
      </c>
      <c r="J100">
        <v>0</v>
      </c>
      <c r="K100">
        <v>1.9</v>
      </c>
      <c r="L100">
        <v>0.57708333332993789</v>
      </c>
      <c r="M100">
        <f t="shared" si="3"/>
        <v>0.98680555555620231</v>
      </c>
      <c r="N100" s="5">
        <v>56.584899999999898</v>
      </c>
      <c r="O100">
        <v>-6.6391169999999997</v>
      </c>
      <c r="P100">
        <v>45878.57708333333</v>
      </c>
      <c r="Q100" s="6">
        <v>2.7585952248556696E-2</v>
      </c>
      <c r="R100" s="6">
        <f t="shared" si="4"/>
        <v>5.7809282366562569E-2</v>
      </c>
      <c r="S100" s="6">
        <f t="shared" si="6"/>
        <v>0.28932200856284662</v>
      </c>
      <c r="T100">
        <v>16</v>
      </c>
      <c r="U100">
        <v>1</v>
      </c>
      <c r="V100">
        <v>124</v>
      </c>
      <c r="W100">
        <v>22</v>
      </c>
      <c r="X100">
        <v>0</v>
      </c>
      <c r="Y100">
        <v>0</v>
      </c>
      <c r="Z100">
        <v>0</v>
      </c>
      <c r="AA100">
        <v>-180</v>
      </c>
      <c r="AB100">
        <v>-15</v>
      </c>
      <c r="AC100">
        <v>1042</v>
      </c>
      <c r="AD100">
        <v>56.584920999999895</v>
      </c>
      <c r="AE100">
        <v>-6.6391860000000005</v>
      </c>
    </row>
    <row r="101" spans="1:31" x14ac:dyDescent="0.35">
      <c r="A101">
        <v>373489</v>
      </c>
      <c r="B101" s="2">
        <v>45877.396527777775</v>
      </c>
      <c r="C101" s="3">
        <v>45877</v>
      </c>
      <c r="D101" s="4">
        <v>0.39674768518518516</v>
      </c>
      <c r="E101">
        <v>0.39674768518518516</v>
      </c>
      <c r="F101" t="s">
        <v>31</v>
      </c>
      <c r="G101">
        <v>5</v>
      </c>
      <c r="H101">
        <v>4058</v>
      </c>
      <c r="I101">
        <v>85</v>
      </c>
      <c r="J101">
        <v>0</v>
      </c>
      <c r="K101">
        <v>1.4</v>
      </c>
      <c r="L101">
        <v>0.39652777777519077</v>
      </c>
      <c r="M101">
        <f t="shared" si="3"/>
        <v>0.54236111111094942</v>
      </c>
      <c r="N101" s="5">
        <v>56.585247000000003</v>
      </c>
      <c r="O101">
        <v>-6.638414</v>
      </c>
      <c r="P101">
        <v>45877.396527777775</v>
      </c>
      <c r="Q101" s="6">
        <v>2.7360139535541877E-2</v>
      </c>
      <c r="R101" s="6">
        <f t="shared" si="4"/>
        <v>2.1028437085315852E-2</v>
      </c>
      <c r="S101" s="6">
        <f t="shared" si="6"/>
        <v>0.3103504456481625</v>
      </c>
      <c r="T101">
        <v>18</v>
      </c>
      <c r="U101">
        <v>0</v>
      </c>
      <c r="V101">
        <v>0</v>
      </c>
      <c r="W101">
        <v>19</v>
      </c>
      <c r="X101">
        <v>0</v>
      </c>
      <c r="Y101">
        <v>0</v>
      </c>
      <c r="Z101">
        <v>0</v>
      </c>
      <c r="AA101">
        <v>-168</v>
      </c>
      <c r="AB101">
        <v>-134</v>
      </c>
      <c r="AC101">
        <v>1035</v>
      </c>
      <c r="AD101">
        <v>56.585227999999951</v>
      </c>
      <c r="AE101">
        <v>-6.6384280000000002</v>
      </c>
    </row>
    <row r="102" spans="1:31" x14ac:dyDescent="0.35">
      <c r="A102">
        <v>373489</v>
      </c>
      <c r="B102" s="2">
        <v>45877.688194444447</v>
      </c>
      <c r="C102" s="3">
        <v>45877</v>
      </c>
      <c r="D102" s="4">
        <v>0.68836805555555558</v>
      </c>
      <c r="E102">
        <v>0.68836805555555558</v>
      </c>
      <c r="F102" t="s">
        <v>31</v>
      </c>
      <c r="G102">
        <v>6</v>
      </c>
      <c r="H102">
        <v>4012</v>
      </c>
      <c r="I102">
        <v>77</v>
      </c>
      <c r="J102">
        <v>0</v>
      </c>
      <c r="K102">
        <v>1.9</v>
      </c>
      <c r="L102">
        <v>0.68819444444670808</v>
      </c>
      <c r="M102">
        <f t="shared" si="3"/>
        <v>0.16736111111094942</v>
      </c>
      <c r="N102" s="5">
        <v>56.585082999999898</v>
      </c>
      <c r="O102">
        <v>-6.6382430000000001</v>
      </c>
      <c r="P102">
        <v>45877.688194444447</v>
      </c>
      <c r="Q102" s="6">
        <v>2.7180341710216775E-2</v>
      </c>
      <c r="R102" s="6">
        <f t="shared" si="4"/>
        <v>3.4669563657658276E-2</v>
      </c>
      <c r="S102" s="6">
        <f t="shared" si="6"/>
        <v>0.34502000930582077</v>
      </c>
      <c r="T102">
        <v>14</v>
      </c>
      <c r="U102">
        <v>0</v>
      </c>
      <c r="V102">
        <v>0</v>
      </c>
      <c r="W102">
        <v>22</v>
      </c>
      <c r="X102">
        <v>0</v>
      </c>
      <c r="Y102">
        <v>0</v>
      </c>
      <c r="Z102">
        <v>0</v>
      </c>
      <c r="AA102">
        <v>-109</v>
      </c>
      <c r="AB102">
        <v>52</v>
      </c>
      <c r="AC102">
        <v>1053</v>
      </c>
      <c r="AD102">
        <v>56.585098499999901</v>
      </c>
      <c r="AE102">
        <v>-6.6382669999999999</v>
      </c>
    </row>
    <row r="103" spans="1:31" x14ac:dyDescent="0.35">
      <c r="A103">
        <v>373489</v>
      </c>
      <c r="B103" s="2">
        <v>45876.646527777775</v>
      </c>
      <c r="C103" s="3">
        <v>45876</v>
      </c>
      <c r="D103" s="4">
        <v>0.64690972222222221</v>
      </c>
      <c r="E103">
        <v>0.64690972222222221</v>
      </c>
      <c r="F103" t="s">
        <v>31</v>
      </c>
      <c r="G103">
        <v>5</v>
      </c>
      <c r="H103">
        <v>4174</v>
      </c>
      <c r="I103">
        <v>100</v>
      </c>
      <c r="J103">
        <v>0</v>
      </c>
      <c r="K103">
        <v>1.8</v>
      </c>
      <c r="L103">
        <v>0.64652777777519077</v>
      </c>
      <c r="M103">
        <f t="shared" si="3"/>
        <v>0.96249999999417923</v>
      </c>
      <c r="N103" s="5">
        <v>56.585289000000003</v>
      </c>
      <c r="O103">
        <v>-6.638668</v>
      </c>
      <c r="P103">
        <v>45876.646527777775</v>
      </c>
      <c r="Q103" s="6">
        <v>2.7092399347937883E-2</v>
      </c>
      <c r="R103" s="6">
        <f t="shared" si="4"/>
        <v>182.83774404515816</v>
      </c>
      <c r="S103" s="6">
        <f t="shared" si="6"/>
        <v>183.18276405446397</v>
      </c>
      <c r="T103">
        <v>13</v>
      </c>
      <c r="U103">
        <v>0</v>
      </c>
      <c r="V103">
        <v>0</v>
      </c>
      <c r="W103">
        <v>24</v>
      </c>
      <c r="X103">
        <v>0</v>
      </c>
      <c r="Y103">
        <v>0</v>
      </c>
      <c r="Z103">
        <v>0</v>
      </c>
      <c r="AA103">
        <v>-228</v>
      </c>
      <c r="AB103">
        <v>-180</v>
      </c>
      <c r="AC103">
        <v>1022</v>
      </c>
      <c r="AD103">
        <v>56.585307999999955</v>
      </c>
      <c r="AE103">
        <v>-6.638655</v>
      </c>
    </row>
    <row r="104" spans="1:31" x14ac:dyDescent="0.35">
      <c r="A104">
        <v>373489</v>
      </c>
      <c r="B104" s="2">
        <v>45879.27847222222</v>
      </c>
      <c r="C104" s="3">
        <v>45879</v>
      </c>
      <c r="D104" s="4">
        <v>0.27863425925925928</v>
      </c>
      <c r="E104">
        <v>0.27863425925925928</v>
      </c>
      <c r="F104" t="s">
        <v>31</v>
      </c>
      <c r="G104">
        <v>10</v>
      </c>
      <c r="H104">
        <v>3930</v>
      </c>
      <c r="I104">
        <v>63</v>
      </c>
      <c r="J104">
        <v>0</v>
      </c>
      <c r="K104">
        <v>0.9</v>
      </c>
      <c r="L104">
        <v>0.27847222222044365</v>
      </c>
      <c r="M104">
        <f t="shared" si="3"/>
        <v>0.257638888884685</v>
      </c>
      <c r="N104" s="5">
        <v>55.293182000000002</v>
      </c>
      <c r="O104">
        <v>-4.8225819999999997</v>
      </c>
      <c r="P104">
        <v>45879.27847222222</v>
      </c>
      <c r="Q104" s="6">
        <v>2.6783936311027705E-2</v>
      </c>
      <c r="R104" s="6">
        <f t="shared" si="4"/>
        <v>182.84064136868022</v>
      </c>
      <c r="S104" s="6">
        <f t="shared" si="6"/>
        <v>366.0234054231442</v>
      </c>
      <c r="T104">
        <v>31</v>
      </c>
      <c r="U104">
        <v>0</v>
      </c>
      <c r="V104">
        <v>300</v>
      </c>
      <c r="W104">
        <v>22</v>
      </c>
      <c r="X104">
        <v>0</v>
      </c>
      <c r="Y104">
        <v>0</v>
      </c>
      <c r="Z104">
        <v>0</v>
      </c>
      <c r="AA104">
        <v>-242</v>
      </c>
      <c r="AB104">
        <v>270</v>
      </c>
      <c r="AC104">
        <v>1018</v>
      </c>
      <c r="AD104">
        <v>55.293141999999946</v>
      </c>
      <c r="AE104">
        <v>-4.8225759999999998</v>
      </c>
    </row>
    <row r="105" spans="1:31" x14ac:dyDescent="0.35">
      <c r="A105">
        <v>373489</v>
      </c>
      <c r="B105" s="2">
        <v>45877.236805555556</v>
      </c>
      <c r="C105" s="3">
        <v>45877</v>
      </c>
      <c r="D105" s="4">
        <v>0.2371875</v>
      </c>
      <c r="E105">
        <v>0.2371875</v>
      </c>
      <c r="F105" t="s">
        <v>31</v>
      </c>
      <c r="G105">
        <v>6</v>
      </c>
      <c r="H105">
        <v>4083</v>
      </c>
      <c r="I105">
        <v>89</v>
      </c>
      <c r="J105">
        <v>0</v>
      </c>
      <c r="K105">
        <v>1.5</v>
      </c>
      <c r="L105">
        <v>0.23680555555620231</v>
      </c>
      <c r="M105">
        <f t="shared" si="3"/>
        <v>7.7083333337213844E-2</v>
      </c>
      <c r="N105" s="5">
        <v>56.5854</v>
      </c>
      <c r="O105">
        <v>-6.6384939999999997</v>
      </c>
      <c r="P105">
        <v>45877.236805555556</v>
      </c>
      <c r="Q105" s="6">
        <v>2.644523343404712E-2</v>
      </c>
      <c r="R105" s="6">
        <f t="shared" si="4"/>
        <v>2.1570253267487072E-2</v>
      </c>
      <c r="S105" s="6">
        <f t="shared" si="6"/>
        <v>366.0449756764117</v>
      </c>
      <c r="T105">
        <v>15</v>
      </c>
      <c r="U105">
        <v>0</v>
      </c>
      <c r="V105">
        <v>18</v>
      </c>
      <c r="W105">
        <v>16</v>
      </c>
      <c r="X105">
        <v>0</v>
      </c>
      <c r="Y105">
        <v>0</v>
      </c>
      <c r="Z105">
        <v>0</v>
      </c>
      <c r="AA105">
        <v>-138</v>
      </c>
      <c r="AB105">
        <v>-249</v>
      </c>
      <c r="AC105">
        <v>1005</v>
      </c>
      <c r="AD105">
        <v>56.58541699999995</v>
      </c>
      <c r="AE105">
        <v>-6.6385125</v>
      </c>
    </row>
    <row r="106" spans="1:31" x14ac:dyDescent="0.35">
      <c r="A106">
        <v>373489</v>
      </c>
      <c r="B106" s="2">
        <v>45876.917361111111</v>
      </c>
      <c r="C106" s="3">
        <v>45876</v>
      </c>
      <c r="D106" s="4">
        <v>0.91774305555555558</v>
      </c>
      <c r="E106">
        <v>0.91774305555555558</v>
      </c>
      <c r="F106" t="s">
        <v>31</v>
      </c>
      <c r="G106">
        <v>7</v>
      </c>
      <c r="H106">
        <v>4132</v>
      </c>
      <c r="I106">
        <v>97</v>
      </c>
      <c r="J106">
        <v>0</v>
      </c>
      <c r="K106">
        <v>1.1000000000000001</v>
      </c>
      <c r="L106">
        <v>0.91736111111094942</v>
      </c>
      <c r="M106">
        <f t="shared" si="3"/>
        <v>0.96597222222044365</v>
      </c>
      <c r="N106" s="5">
        <v>56.585254999999897</v>
      </c>
      <c r="O106">
        <v>-6.6387280000000004</v>
      </c>
      <c r="P106">
        <v>45876.917361111111</v>
      </c>
      <c r="Q106" s="6">
        <v>2.6295951255244251E-2</v>
      </c>
      <c r="R106" s="6">
        <f t="shared" si="4"/>
        <v>4.6802123369428551E-3</v>
      </c>
      <c r="S106" s="6">
        <f t="shared" si="6"/>
        <v>366.04965588874865</v>
      </c>
      <c r="T106">
        <v>15</v>
      </c>
      <c r="U106">
        <v>0</v>
      </c>
      <c r="V106">
        <v>0</v>
      </c>
      <c r="W106">
        <v>18</v>
      </c>
      <c r="X106">
        <v>0</v>
      </c>
      <c r="Y106">
        <v>0</v>
      </c>
      <c r="Z106">
        <v>0</v>
      </c>
      <c r="AA106">
        <v>-287</v>
      </c>
      <c r="AB106">
        <v>-33</v>
      </c>
      <c r="AC106">
        <v>1014</v>
      </c>
      <c r="AD106">
        <v>56.585273999999949</v>
      </c>
      <c r="AE106">
        <v>-6.6387185000000004</v>
      </c>
    </row>
    <row r="107" spans="1:31" x14ac:dyDescent="0.35">
      <c r="A107">
        <v>373489</v>
      </c>
      <c r="B107" s="2">
        <v>45877.01458333333</v>
      </c>
      <c r="C107" s="3">
        <v>45877</v>
      </c>
      <c r="D107" s="4">
        <v>1.4780092592592593E-2</v>
      </c>
      <c r="E107">
        <v>1.4780092592592593E-2</v>
      </c>
      <c r="F107" t="s">
        <v>31</v>
      </c>
      <c r="G107">
        <v>6</v>
      </c>
      <c r="H107">
        <v>4120</v>
      </c>
      <c r="I107">
        <v>95</v>
      </c>
      <c r="J107">
        <v>0</v>
      </c>
      <c r="K107">
        <v>1.8</v>
      </c>
      <c r="L107">
        <v>1.4583333329937886E-2</v>
      </c>
      <c r="M107">
        <f t="shared" si="3"/>
        <v>0.74722222222044365</v>
      </c>
      <c r="N107" s="5">
        <v>56.585296999999898</v>
      </c>
      <c r="O107">
        <v>-6.6387229999999997</v>
      </c>
      <c r="P107">
        <v>45877.01458333333</v>
      </c>
      <c r="Q107" s="6">
        <v>2.6259575759959977E-2</v>
      </c>
      <c r="R107" s="6">
        <f t="shared" si="4"/>
        <v>4.5698245093443064E-2</v>
      </c>
      <c r="S107" s="6">
        <f t="shared" si="6"/>
        <v>366.09535413384208</v>
      </c>
      <c r="T107">
        <v>10</v>
      </c>
      <c r="U107">
        <v>0</v>
      </c>
      <c r="V107">
        <v>0</v>
      </c>
      <c r="W107">
        <v>17</v>
      </c>
      <c r="X107">
        <v>0</v>
      </c>
      <c r="Y107">
        <v>0</v>
      </c>
      <c r="Z107">
        <v>0</v>
      </c>
      <c r="AA107">
        <v>-138</v>
      </c>
      <c r="AB107">
        <v>-102</v>
      </c>
      <c r="AC107">
        <v>1044</v>
      </c>
      <c r="AD107">
        <v>56.585285499999898</v>
      </c>
      <c r="AE107">
        <v>-6.6387520000000002</v>
      </c>
    </row>
    <row r="108" spans="1:31" x14ac:dyDescent="0.35">
      <c r="A108">
        <v>373489</v>
      </c>
      <c r="B108" s="2">
        <v>45878.479861111111</v>
      </c>
      <c r="C108" s="3">
        <v>45878</v>
      </c>
      <c r="D108" s="4">
        <v>0.48008101851851853</v>
      </c>
      <c r="E108">
        <v>0.48008101851851853</v>
      </c>
      <c r="F108" t="s">
        <v>31</v>
      </c>
      <c r="G108">
        <v>6</v>
      </c>
      <c r="H108">
        <v>3975</v>
      </c>
      <c r="I108">
        <v>71</v>
      </c>
      <c r="J108">
        <v>0</v>
      </c>
      <c r="K108">
        <v>1.5</v>
      </c>
      <c r="L108">
        <v>0.47986111111094942</v>
      </c>
      <c r="M108">
        <f t="shared" si="3"/>
        <v>0.632638888884685</v>
      </c>
      <c r="N108" s="5">
        <v>56.584941999999899</v>
      </c>
      <c r="O108">
        <v>-6.6390989999999999</v>
      </c>
      <c r="P108">
        <v>45878.479861111111</v>
      </c>
      <c r="Q108" s="6">
        <v>2.6007469046794914E-2</v>
      </c>
      <c r="R108" s="6">
        <f t="shared" si="4"/>
        <v>4.1600443268641422E-2</v>
      </c>
      <c r="S108" s="6">
        <f t="shared" si="6"/>
        <v>366.13695457711071</v>
      </c>
      <c r="T108">
        <v>2</v>
      </c>
      <c r="U108">
        <v>0</v>
      </c>
      <c r="V108">
        <v>0</v>
      </c>
      <c r="W108">
        <v>23</v>
      </c>
      <c r="X108">
        <v>0</v>
      </c>
      <c r="Y108">
        <v>0</v>
      </c>
      <c r="Z108">
        <v>0</v>
      </c>
      <c r="AA108">
        <v>-223</v>
      </c>
      <c r="AB108">
        <v>132</v>
      </c>
      <c r="AC108">
        <v>1030</v>
      </c>
      <c r="AD108">
        <v>56.584945499999947</v>
      </c>
      <c r="AE108">
        <v>-6.6390285000000002</v>
      </c>
    </row>
    <row r="109" spans="1:31" x14ac:dyDescent="0.35">
      <c r="A109">
        <v>373489</v>
      </c>
      <c r="B109" s="2">
        <v>45876.785416666666</v>
      </c>
      <c r="C109" s="3">
        <v>45876</v>
      </c>
      <c r="D109" s="4">
        <v>0.78561342592592598</v>
      </c>
      <c r="E109">
        <v>0.78561342592592598</v>
      </c>
      <c r="F109" t="s">
        <v>31</v>
      </c>
      <c r="G109">
        <v>7</v>
      </c>
      <c r="H109">
        <v>4157</v>
      </c>
      <c r="I109">
        <v>100</v>
      </c>
      <c r="J109">
        <v>0</v>
      </c>
      <c r="K109">
        <v>1.8</v>
      </c>
      <c r="L109">
        <v>0.78541666666569654</v>
      </c>
      <c r="M109">
        <f t="shared" si="3"/>
        <v>0.36180555555620231</v>
      </c>
      <c r="N109" s="5">
        <v>56.585251</v>
      </c>
      <c r="O109">
        <v>-6.6387159999999996</v>
      </c>
      <c r="P109">
        <v>45876.785416666666</v>
      </c>
      <c r="Q109" s="6">
        <v>2.594453096834639E-2</v>
      </c>
      <c r="R109" s="6">
        <f t="shared" si="4"/>
        <v>0.14367947386740668</v>
      </c>
      <c r="S109" s="6">
        <f t="shared" si="6"/>
        <v>366.28063405097811</v>
      </c>
      <c r="T109">
        <v>13</v>
      </c>
      <c r="U109">
        <v>0</v>
      </c>
      <c r="V109">
        <v>0</v>
      </c>
      <c r="W109">
        <v>19</v>
      </c>
      <c r="X109">
        <v>0</v>
      </c>
      <c r="Y109">
        <v>0</v>
      </c>
      <c r="Z109">
        <v>0</v>
      </c>
      <c r="AA109">
        <v>-115</v>
      </c>
      <c r="AB109">
        <v>-98</v>
      </c>
      <c r="AC109">
        <v>1047</v>
      </c>
      <c r="AD109">
        <v>56.585270000000001</v>
      </c>
      <c r="AE109">
        <v>-6.6387084999999999</v>
      </c>
    </row>
    <row r="110" spans="1:31" x14ac:dyDescent="0.35">
      <c r="A110">
        <v>373489</v>
      </c>
      <c r="B110" s="2">
        <v>45877.938194444447</v>
      </c>
      <c r="C110" s="3">
        <v>45877</v>
      </c>
      <c r="D110" s="4">
        <v>0.93837962962962962</v>
      </c>
      <c r="E110">
        <v>0.93837962962962962</v>
      </c>
      <c r="F110" t="s">
        <v>31</v>
      </c>
      <c r="G110">
        <v>4</v>
      </c>
      <c r="H110">
        <v>3981</v>
      </c>
      <c r="I110">
        <v>72</v>
      </c>
      <c r="J110">
        <v>0</v>
      </c>
      <c r="K110">
        <v>1.5</v>
      </c>
      <c r="L110">
        <v>0.93819444444670808</v>
      </c>
      <c r="M110">
        <f t="shared" si="3"/>
        <v>0.30277777777519077</v>
      </c>
      <c r="N110" s="5">
        <v>56.583961000000002</v>
      </c>
      <c r="O110">
        <v>-6.6385810000000003</v>
      </c>
      <c r="P110">
        <v>45877.938194444447</v>
      </c>
      <c r="Q110" s="6">
        <v>2.5875038974496882E-2</v>
      </c>
      <c r="R110" s="6">
        <f t="shared" si="4"/>
        <v>0.14301273634083947</v>
      </c>
      <c r="S110" s="6">
        <f t="shared" si="6"/>
        <v>366.42364678731894</v>
      </c>
      <c r="T110">
        <v>11</v>
      </c>
      <c r="U110">
        <v>0</v>
      </c>
      <c r="V110">
        <v>0</v>
      </c>
      <c r="W110">
        <v>17</v>
      </c>
      <c r="X110">
        <v>0</v>
      </c>
      <c r="Y110">
        <v>0</v>
      </c>
      <c r="Z110">
        <v>0</v>
      </c>
      <c r="AA110">
        <v>-138</v>
      </c>
      <c r="AB110">
        <v>-117</v>
      </c>
      <c r="AC110">
        <v>1044</v>
      </c>
      <c r="AD110">
        <v>56.583930500000001</v>
      </c>
      <c r="AE110">
        <v>-6.6385375</v>
      </c>
    </row>
    <row r="111" spans="1:31" x14ac:dyDescent="0.35">
      <c r="A111">
        <v>373489</v>
      </c>
      <c r="B111" s="2">
        <v>45876.667361111111</v>
      </c>
      <c r="C111" s="3">
        <v>45876</v>
      </c>
      <c r="D111" s="4">
        <v>0.6675578703703704</v>
      </c>
      <c r="E111">
        <v>0.6675578703703704</v>
      </c>
      <c r="F111" t="s">
        <v>31</v>
      </c>
      <c r="G111">
        <v>7</v>
      </c>
      <c r="H111">
        <v>4169</v>
      </c>
      <c r="I111">
        <v>100</v>
      </c>
      <c r="J111">
        <v>1</v>
      </c>
      <c r="K111">
        <v>1.3</v>
      </c>
      <c r="L111">
        <v>0.66736111111094942</v>
      </c>
      <c r="M111">
        <f t="shared" si="3"/>
        <v>0.84444444444670808</v>
      </c>
      <c r="N111" s="5">
        <v>56.585247000000003</v>
      </c>
      <c r="O111">
        <v>-6.6386159999999999</v>
      </c>
      <c r="P111">
        <v>45876.667361111111</v>
      </c>
      <c r="Q111" s="6">
        <v>2.5363089890490669E-2</v>
      </c>
      <c r="R111" s="6">
        <f t="shared" si="4"/>
        <v>1.0540319426806869E-2</v>
      </c>
      <c r="S111" s="6">
        <f t="shared" si="6"/>
        <v>366.43418710674575</v>
      </c>
      <c r="T111">
        <v>12</v>
      </c>
      <c r="U111">
        <v>0</v>
      </c>
      <c r="V111">
        <v>183</v>
      </c>
      <c r="W111">
        <v>26</v>
      </c>
      <c r="X111">
        <v>0</v>
      </c>
      <c r="Y111">
        <v>0</v>
      </c>
      <c r="Z111">
        <v>0</v>
      </c>
      <c r="AA111">
        <v>-222</v>
      </c>
      <c r="AB111">
        <v>-566</v>
      </c>
      <c r="AC111">
        <v>847</v>
      </c>
      <c r="AD111">
        <v>56.585265999999947</v>
      </c>
      <c r="AE111">
        <v>-6.6386149999999997</v>
      </c>
    </row>
    <row r="112" spans="1:31" x14ac:dyDescent="0.35">
      <c r="A112">
        <v>373489</v>
      </c>
      <c r="B112" s="2">
        <v>45877.021527777775</v>
      </c>
      <c r="C112" s="3">
        <v>45877</v>
      </c>
      <c r="D112" s="4">
        <v>2.1712962962962962E-2</v>
      </c>
      <c r="E112">
        <v>2.1712962962962962E-2</v>
      </c>
      <c r="F112" t="s">
        <v>31</v>
      </c>
      <c r="G112">
        <v>6</v>
      </c>
      <c r="H112">
        <v>4120</v>
      </c>
      <c r="I112">
        <v>95</v>
      </c>
      <c r="J112">
        <v>0</v>
      </c>
      <c r="K112">
        <v>2</v>
      </c>
      <c r="L112">
        <v>2.1527777775190771E-2</v>
      </c>
      <c r="M112">
        <f t="shared" si="3"/>
        <v>0.22986111111094942</v>
      </c>
      <c r="N112" s="5">
        <v>56.585273999999899</v>
      </c>
      <c r="O112">
        <v>-6.6387809999999998</v>
      </c>
      <c r="P112">
        <v>45877.021527777775</v>
      </c>
      <c r="Q112" s="6">
        <v>2.5111353422153593E-2</v>
      </c>
      <c r="R112" s="6">
        <f t="shared" si="4"/>
        <v>2.626869829681772E-2</v>
      </c>
      <c r="S112" s="6">
        <f t="shared" si="6"/>
        <v>366.46045580504256</v>
      </c>
      <c r="T112">
        <v>9</v>
      </c>
      <c r="U112">
        <v>0</v>
      </c>
      <c r="V112">
        <v>0</v>
      </c>
      <c r="W112">
        <v>17</v>
      </c>
      <c r="X112">
        <v>0</v>
      </c>
      <c r="Y112">
        <v>0</v>
      </c>
      <c r="Z112">
        <v>0</v>
      </c>
      <c r="AA112">
        <v>-125</v>
      </c>
      <c r="AB112">
        <v>-32</v>
      </c>
      <c r="AC112">
        <v>1044</v>
      </c>
      <c r="AD112">
        <v>56.585264499999894</v>
      </c>
      <c r="AE112">
        <v>-6.6387514999999997</v>
      </c>
    </row>
    <row r="113" spans="1:31" x14ac:dyDescent="0.35">
      <c r="A113">
        <v>373489</v>
      </c>
      <c r="B113" s="2">
        <v>45877.438194444447</v>
      </c>
      <c r="C113" s="3">
        <v>45877</v>
      </c>
      <c r="D113" s="4">
        <v>0.4387847222222222</v>
      </c>
      <c r="E113">
        <v>0.4387847222222222</v>
      </c>
      <c r="F113" t="s">
        <v>31</v>
      </c>
      <c r="G113">
        <v>8</v>
      </c>
      <c r="H113">
        <v>4046</v>
      </c>
      <c r="I113">
        <v>83</v>
      </c>
      <c r="J113">
        <v>0</v>
      </c>
      <c r="K113">
        <v>1.1000000000000001</v>
      </c>
      <c r="L113">
        <v>0.43819444444670808</v>
      </c>
      <c r="M113">
        <f t="shared" si="3"/>
        <v>0.11875000000145519</v>
      </c>
      <c r="N113" s="5">
        <v>56.585258000000003</v>
      </c>
      <c r="O113">
        <v>-6.6383530000000004</v>
      </c>
      <c r="P113">
        <v>45877.438194444447</v>
      </c>
      <c r="Q113" s="6">
        <v>2.4983672761244247E-2</v>
      </c>
      <c r="R113" s="6">
        <f t="shared" si="4"/>
        <v>2.3512071822517352E-2</v>
      </c>
      <c r="S113" s="6">
        <f t="shared" si="6"/>
        <v>366.48396787686505</v>
      </c>
      <c r="T113">
        <v>19</v>
      </c>
      <c r="U113">
        <v>0</v>
      </c>
      <c r="V113">
        <v>246</v>
      </c>
      <c r="W113">
        <v>21</v>
      </c>
      <c r="X113">
        <v>0</v>
      </c>
      <c r="Y113">
        <v>0</v>
      </c>
      <c r="Z113">
        <v>0</v>
      </c>
      <c r="AA113">
        <v>-120</v>
      </c>
      <c r="AB113">
        <v>22</v>
      </c>
      <c r="AC113">
        <v>1089</v>
      </c>
      <c r="AD113">
        <v>56.585252500000003</v>
      </c>
      <c r="AE113">
        <v>-6.6383855000000001</v>
      </c>
    </row>
    <row r="114" spans="1:31" x14ac:dyDescent="0.35">
      <c r="A114">
        <v>373489</v>
      </c>
      <c r="B114" s="2">
        <v>45876.799305555556</v>
      </c>
      <c r="C114" s="3">
        <v>45876</v>
      </c>
      <c r="D114" s="4">
        <v>0.79950231481481482</v>
      </c>
      <c r="E114">
        <v>0.79950231481481482</v>
      </c>
      <c r="F114" t="s">
        <v>31</v>
      </c>
      <c r="G114">
        <v>6</v>
      </c>
      <c r="H114">
        <v>4154</v>
      </c>
      <c r="I114">
        <v>100</v>
      </c>
      <c r="J114">
        <v>0</v>
      </c>
      <c r="K114">
        <v>1.6</v>
      </c>
      <c r="L114">
        <v>0.79930555555620231</v>
      </c>
      <c r="M114">
        <f t="shared" si="3"/>
        <v>0.11527777777519077</v>
      </c>
      <c r="N114" s="5">
        <v>56.585242999999899</v>
      </c>
      <c r="O114">
        <v>-6.6387359999999997</v>
      </c>
      <c r="P114">
        <v>45876.799305555556</v>
      </c>
      <c r="Q114" s="6">
        <v>2.4758022950617783E-2</v>
      </c>
      <c r="R114" s="6">
        <f t="shared" si="4"/>
        <v>2.4950849904825125E-2</v>
      </c>
      <c r="S114" s="6">
        <f t="shared" si="6"/>
        <v>366.50891872676988</v>
      </c>
      <c r="T114">
        <v>16</v>
      </c>
      <c r="U114">
        <v>0</v>
      </c>
      <c r="V114">
        <v>348</v>
      </c>
      <c r="W114">
        <v>18</v>
      </c>
      <c r="X114">
        <v>0</v>
      </c>
      <c r="Y114">
        <v>0</v>
      </c>
      <c r="Z114">
        <v>0</v>
      </c>
      <c r="AA114">
        <v>-150</v>
      </c>
      <c r="AB114">
        <v>-149</v>
      </c>
      <c r="AC114">
        <v>1018</v>
      </c>
      <c r="AD114">
        <v>56.585225999999899</v>
      </c>
      <c r="AE114">
        <v>-6.6387225000000001</v>
      </c>
    </row>
    <row r="115" spans="1:31" x14ac:dyDescent="0.35">
      <c r="A115">
        <v>373489</v>
      </c>
      <c r="B115" s="2">
        <v>45877.431250000001</v>
      </c>
      <c r="C115" s="3">
        <v>45877</v>
      </c>
      <c r="D115" s="4">
        <v>0.43146990740740743</v>
      </c>
      <c r="E115">
        <v>0.43146990740740743</v>
      </c>
      <c r="F115" t="s">
        <v>31</v>
      </c>
      <c r="G115">
        <v>6</v>
      </c>
      <c r="H115">
        <v>4046</v>
      </c>
      <c r="I115">
        <v>83</v>
      </c>
      <c r="J115">
        <v>0</v>
      </c>
      <c r="K115">
        <v>1.1000000000000001</v>
      </c>
      <c r="L115">
        <v>0.43125000000145519</v>
      </c>
      <c r="M115">
        <f t="shared" si="3"/>
        <v>0.17777777777519077</v>
      </c>
      <c r="N115" s="5">
        <v>56.585223999999897</v>
      </c>
      <c r="O115">
        <v>-6.6383299999999998</v>
      </c>
      <c r="P115">
        <v>45877.431250000001</v>
      </c>
      <c r="Q115" s="6">
        <v>2.4206651519820696E-2</v>
      </c>
      <c r="R115" s="6">
        <f t="shared" si="4"/>
        <v>2.4443257004243144E-2</v>
      </c>
      <c r="S115" s="6">
        <f t="shared" si="6"/>
        <v>366.53336198377411</v>
      </c>
      <c r="T115">
        <v>23</v>
      </c>
      <c r="U115">
        <v>0</v>
      </c>
      <c r="V115">
        <v>0</v>
      </c>
      <c r="W115">
        <v>19</v>
      </c>
      <c r="X115">
        <v>0</v>
      </c>
      <c r="Y115">
        <v>0</v>
      </c>
      <c r="Z115">
        <v>0</v>
      </c>
      <c r="AA115">
        <v>-127</v>
      </c>
      <c r="AB115">
        <v>-15</v>
      </c>
      <c r="AC115">
        <v>954</v>
      </c>
      <c r="AD115">
        <v>56.585240999999954</v>
      </c>
      <c r="AE115">
        <v>-6.6383415000000001</v>
      </c>
    </row>
    <row r="116" spans="1:31" x14ac:dyDescent="0.35">
      <c r="A116">
        <v>373489</v>
      </c>
      <c r="B116" s="2">
        <v>45876.924305555556</v>
      </c>
      <c r="C116" s="3">
        <v>45876</v>
      </c>
      <c r="D116" s="4">
        <v>0.92449074074074078</v>
      </c>
      <c r="E116">
        <v>0.92449074074074078</v>
      </c>
      <c r="F116" t="s">
        <v>31</v>
      </c>
      <c r="G116">
        <v>6</v>
      </c>
      <c r="H116">
        <v>4129</v>
      </c>
      <c r="I116">
        <v>97</v>
      </c>
      <c r="J116">
        <v>0</v>
      </c>
      <c r="K116">
        <v>1.4</v>
      </c>
      <c r="L116">
        <v>0.92430555555620231</v>
      </c>
      <c r="M116">
        <f t="shared" si="3"/>
        <v>1.8055555556202307E-2</v>
      </c>
      <c r="N116" s="5">
        <v>56.585293</v>
      </c>
      <c r="O116">
        <v>-6.6387090000000004</v>
      </c>
      <c r="P116">
        <v>45876.924305555556</v>
      </c>
      <c r="Q116" s="6">
        <v>2.379040599778473E-2</v>
      </c>
      <c r="R116" s="6">
        <f t="shared" si="4"/>
        <v>5.8949503287196864E-3</v>
      </c>
      <c r="S116" s="6">
        <f t="shared" si="6"/>
        <v>366.53925693410281</v>
      </c>
      <c r="T116">
        <v>12</v>
      </c>
      <c r="U116">
        <v>0</v>
      </c>
      <c r="V116">
        <v>7</v>
      </c>
      <c r="W116">
        <v>18</v>
      </c>
      <c r="X116">
        <v>0</v>
      </c>
      <c r="Y116">
        <v>0</v>
      </c>
      <c r="Z116">
        <v>0</v>
      </c>
      <c r="AA116">
        <v>-298</v>
      </c>
      <c r="AB116">
        <v>-32</v>
      </c>
      <c r="AC116">
        <v>1004</v>
      </c>
      <c r="AD116">
        <v>56.585277500000004</v>
      </c>
      <c r="AE116">
        <v>-6.638725</v>
      </c>
    </row>
    <row r="117" spans="1:31" x14ac:dyDescent="0.35">
      <c r="A117">
        <v>373489</v>
      </c>
      <c r="B117" s="2">
        <v>45877.111805555556</v>
      </c>
      <c r="C117" s="3">
        <v>45877</v>
      </c>
      <c r="D117" s="4">
        <v>0.11206018518518518</v>
      </c>
      <c r="E117">
        <v>0.11206018518518518</v>
      </c>
      <c r="F117" t="s">
        <v>31</v>
      </c>
      <c r="G117">
        <v>4</v>
      </c>
      <c r="H117">
        <v>4109</v>
      </c>
      <c r="I117">
        <v>93</v>
      </c>
      <c r="J117">
        <v>0</v>
      </c>
      <c r="K117">
        <v>1.6</v>
      </c>
      <c r="L117">
        <v>0.11180555555620231</v>
      </c>
      <c r="M117">
        <f t="shared" si="3"/>
        <v>0.36180555555620231</v>
      </c>
      <c r="N117" s="5">
        <v>56.585242999999899</v>
      </c>
      <c r="O117">
        <v>-6.6387409999999996</v>
      </c>
      <c r="P117">
        <v>45877.111805555556</v>
      </c>
      <c r="Q117" s="6">
        <v>2.3423083741595199E-2</v>
      </c>
      <c r="R117" s="6">
        <f t="shared" si="4"/>
        <v>3.852356927015823E-2</v>
      </c>
      <c r="S117" s="6">
        <f t="shared" si="6"/>
        <v>366.57778050337299</v>
      </c>
      <c r="T117">
        <v>20</v>
      </c>
      <c r="U117">
        <v>2</v>
      </c>
      <c r="V117">
        <v>309</v>
      </c>
      <c r="W117">
        <v>17</v>
      </c>
      <c r="X117">
        <v>0</v>
      </c>
      <c r="Y117">
        <v>0</v>
      </c>
      <c r="Z117">
        <v>0</v>
      </c>
      <c r="AA117">
        <v>-120</v>
      </c>
      <c r="AB117">
        <v>-55</v>
      </c>
      <c r="AC117">
        <v>1044</v>
      </c>
      <c r="AD117">
        <v>56.585260499999947</v>
      </c>
      <c r="AE117">
        <v>-6.6387384999999997</v>
      </c>
    </row>
    <row r="118" spans="1:31" x14ac:dyDescent="0.35">
      <c r="A118">
        <v>373489</v>
      </c>
      <c r="B118" s="2">
        <v>45877.611805555556</v>
      </c>
      <c r="C118" s="3">
        <v>45877</v>
      </c>
      <c r="D118" s="4">
        <v>0.61200231481481482</v>
      </c>
      <c r="E118">
        <v>0.61200231481481482</v>
      </c>
      <c r="F118" t="s">
        <v>31</v>
      </c>
      <c r="G118">
        <v>6</v>
      </c>
      <c r="H118">
        <v>4012</v>
      </c>
      <c r="I118">
        <v>77</v>
      </c>
      <c r="J118">
        <v>0</v>
      </c>
      <c r="K118">
        <v>1.3</v>
      </c>
      <c r="L118">
        <v>0.61180555555620231</v>
      </c>
      <c r="M118">
        <f t="shared" si="3"/>
        <v>0.22986111111094942</v>
      </c>
      <c r="N118" s="5">
        <v>56.585147999999897</v>
      </c>
      <c r="O118">
        <v>-6.6381360000000003</v>
      </c>
      <c r="P118">
        <v>45877.611805555556</v>
      </c>
      <c r="Q118" s="6">
        <v>2.3300058886652732E-2</v>
      </c>
      <c r="R118" s="6">
        <f t="shared" si="4"/>
        <v>4.165564084790134E-2</v>
      </c>
      <c r="S118" s="6">
        <f t="shared" si="6"/>
        <v>366.61943614422091</v>
      </c>
      <c r="T118">
        <v>25</v>
      </c>
      <c r="U118">
        <v>0</v>
      </c>
      <c r="V118">
        <v>0</v>
      </c>
      <c r="W118">
        <v>22</v>
      </c>
      <c r="X118">
        <v>0</v>
      </c>
      <c r="Y118">
        <v>0</v>
      </c>
      <c r="Z118">
        <v>0</v>
      </c>
      <c r="AA118">
        <v>-161</v>
      </c>
      <c r="AB118">
        <v>-80</v>
      </c>
      <c r="AC118">
        <v>1036</v>
      </c>
      <c r="AD118">
        <v>56.585149999999949</v>
      </c>
      <c r="AE118">
        <v>-6.6381674999999998</v>
      </c>
    </row>
    <row r="119" spans="1:31" x14ac:dyDescent="0.35">
      <c r="A119">
        <v>373489</v>
      </c>
      <c r="B119" s="2">
        <v>45876.847916666666</v>
      </c>
      <c r="C119" s="3">
        <v>45876</v>
      </c>
      <c r="D119" s="4">
        <v>0.84810185185185183</v>
      </c>
      <c r="E119">
        <v>0.84810185185185183</v>
      </c>
      <c r="F119" t="s">
        <v>31</v>
      </c>
      <c r="G119">
        <v>5</v>
      </c>
      <c r="H119">
        <v>4146</v>
      </c>
      <c r="I119">
        <v>99</v>
      </c>
      <c r="J119">
        <v>0</v>
      </c>
      <c r="K119">
        <v>1.3</v>
      </c>
      <c r="L119">
        <v>0.84791666666569654</v>
      </c>
      <c r="M119">
        <f t="shared" si="3"/>
        <v>0.51805555555620231</v>
      </c>
      <c r="N119" s="5">
        <v>56.585262</v>
      </c>
      <c r="O119">
        <v>-6.6387840000000002</v>
      </c>
      <c r="P119">
        <v>45876.847916666666</v>
      </c>
      <c r="Q119" s="6">
        <v>2.3146656893486741E-2</v>
      </c>
      <c r="R119" s="6">
        <f t="shared" si="4"/>
        <v>9.7301680470104207E-2</v>
      </c>
      <c r="S119" s="6">
        <f t="shared" si="6"/>
        <v>366.71673782469099</v>
      </c>
      <c r="T119">
        <v>17</v>
      </c>
      <c r="U119">
        <v>1</v>
      </c>
      <c r="V119">
        <v>346</v>
      </c>
      <c r="W119">
        <v>18</v>
      </c>
      <c r="X119">
        <v>0</v>
      </c>
      <c r="Y119">
        <v>0</v>
      </c>
      <c r="Z119">
        <v>0</v>
      </c>
      <c r="AA119">
        <v>-265</v>
      </c>
      <c r="AB119">
        <v>-153</v>
      </c>
      <c r="AC119">
        <v>1014</v>
      </c>
      <c r="AD119">
        <v>56.585262</v>
      </c>
      <c r="AE119">
        <v>-6.6387525000000007</v>
      </c>
    </row>
    <row r="120" spans="1:31" x14ac:dyDescent="0.35">
      <c r="A120">
        <v>373489</v>
      </c>
      <c r="B120" s="2">
        <v>45878.188194444447</v>
      </c>
      <c r="C120" s="3">
        <v>45878</v>
      </c>
      <c r="D120" s="4">
        <v>0.18836805555555555</v>
      </c>
      <c r="E120">
        <v>0.18836805555555555</v>
      </c>
      <c r="F120" t="s">
        <v>31</v>
      </c>
      <c r="G120">
        <v>9</v>
      </c>
      <c r="H120">
        <v>3964</v>
      </c>
      <c r="I120">
        <v>69</v>
      </c>
      <c r="J120">
        <v>0</v>
      </c>
      <c r="K120">
        <v>1</v>
      </c>
      <c r="L120">
        <v>0.18819444444670808</v>
      </c>
      <c r="M120">
        <f t="shared" si="3"/>
        <v>0.39652777777519077</v>
      </c>
      <c r="N120" s="5">
        <v>56.584395999999899</v>
      </c>
      <c r="O120">
        <v>-6.6390120000000001</v>
      </c>
      <c r="P120">
        <v>45878.188194444447</v>
      </c>
      <c r="Q120" s="6">
        <v>2.3140913814838012E-2</v>
      </c>
      <c r="R120" s="6">
        <f t="shared" si="4"/>
        <v>9.9338478098713892E-2</v>
      </c>
      <c r="S120" s="6">
        <f t="shared" si="6"/>
        <v>366.81607630278972</v>
      </c>
      <c r="T120">
        <v>16</v>
      </c>
      <c r="U120">
        <v>0</v>
      </c>
      <c r="V120">
        <v>0</v>
      </c>
      <c r="W120">
        <v>13</v>
      </c>
      <c r="X120">
        <v>0</v>
      </c>
      <c r="Y120">
        <v>0</v>
      </c>
      <c r="Z120">
        <v>0</v>
      </c>
      <c r="AA120">
        <v>-224</v>
      </c>
      <c r="AB120">
        <v>-315</v>
      </c>
      <c r="AC120">
        <v>999</v>
      </c>
      <c r="AD120">
        <v>56.584430499999954</v>
      </c>
      <c r="AE120">
        <v>-6.6390185000000006</v>
      </c>
    </row>
    <row r="121" spans="1:31" x14ac:dyDescent="0.35">
      <c r="A121">
        <v>373489</v>
      </c>
      <c r="B121" s="2">
        <v>45876.604861111111</v>
      </c>
      <c r="C121" s="3">
        <v>45876</v>
      </c>
      <c r="D121" s="4">
        <v>0.60506944444444444</v>
      </c>
      <c r="E121">
        <v>0.60506944444444444</v>
      </c>
      <c r="F121" t="s">
        <v>31</v>
      </c>
      <c r="G121">
        <v>5</v>
      </c>
      <c r="H121">
        <v>4174</v>
      </c>
      <c r="I121">
        <v>100</v>
      </c>
      <c r="J121">
        <v>0</v>
      </c>
      <c r="K121">
        <v>1.3</v>
      </c>
      <c r="L121">
        <v>0.60486111111094942</v>
      </c>
      <c r="M121">
        <f t="shared" si="3"/>
        <v>0.61527777777519077</v>
      </c>
      <c r="N121" s="5">
        <v>56.585270000000001</v>
      </c>
      <c r="O121">
        <v>-6.6386760000000002</v>
      </c>
      <c r="P121">
        <v>45876.604861111111</v>
      </c>
      <c r="Q121" s="6">
        <v>2.2622782530362463E-2</v>
      </c>
      <c r="R121" s="6">
        <f t="shared" si="4"/>
        <v>1.5492959345966213E-2</v>
      </c>
      <c r="S121" s="6">
        <f t="shared" si="6"/>
        <v>366.8315692621357</v>
      </c>
      <c r="T121">
        <v>11</v>
      </c>
      <c r="U121">
        <v>0</v>
      </c>
      <c r="V121">
        <v>0</v>
      </c>
      <c r="W121">
        <v>24</v>
      </c>
      <c r="X121">
        <v>0</v>
      </c>
      <c r="Y121">
        <v>0</v>
      </c>
      <c r="Z121">
        <v>0</v>
      </c>
      <c r="AA121">
        <v>-27</v>
      </c>
      <c r="AB121">
        <v>-529</v>
      </c>
      <c r="AC121">
        <v>905</v>
      </c>
      <c r="AD121">
        <v>56.585279499999999</v>
      </c>
      <c r="AE121">
        <v>-6.6386505000000007</v>
      </c>
    </row>
    <row r="122" spans="1:31" x14ac:dyDescent="0.35">
      <c r="A122">
        <v>373489</v>
      </c>
      <c r="B122" s="2">
        <v>45876.625694444447</v>
      </c>
      <c r="C122" s="3">
        <v>45876</v>
      </c>
      <c r="D122" s="4">
        <v>0.62590277777777781</v>
      </c>
      <c r="E122">
        <v>0.62590277777777781</v>
      </c>
      <c r="F122" t="s">
        <v>31</v>
      </c>
      <c r="G122">
        <v>5</v>
      </c>
      <c r="H122">
        <v>4174</v>
      </c>
      <c r="I122">
        <v>100</v>
      </c>
      <c r="J122">
        <v>0</v>
      </c>
      <c r="K122">
        <v>1.1000000000000001</v>
      </c>
      <c r="L122">
        <v>0.62569444444670808</v>
      </c>
      <c r="M122">
        <f t="shared" si="3"/>
        <v>0.163888888884685</v>
      </c>
      <c r="N122" s="5">
        <v>56.585396000000003</v>
      </c>
      <c r="O122">
        <v>-6.6387840000000002</v>
      </c>
      <c r="P122">
        <v>45876.625694444447</v>
      </c>
      <c r="Q122" s="6">
        <v>2.2567377168970428E-2</v>
      </c>
      <c r="R122" s="6">
        <f t="shared" si="4"/>
        <v>4.7733172288149411E-2</v>
      </c>
      <c r="S122" s="6">
        <f t="shared" si="6"/>
        <v>366.87930243442383</v>
      </c>
      <c r="T122">
        <v>20</v>
      </c>
      <c r="U122">
        <v>2</v>
      </c>
      <c r="V122">
        <v>145</v>
      </c>
      <c r="W122">
        <v>24</v>
      </c>
      <c r="X122">
        <v>0</v>
      </c>
      <c r="Y122">
        <v>0</v>
      </c>
      <c r="Z122">
        <v>0</v>
      </c>
      <c r="AA122">
        <v>-162</v>
      </c>
      <c r="AB122">
        <v>-227</v>
      </c>
      <c r="AC122">
        <v>1006</v>
      </c>
      <c r="AD122">
        <v>56.585382500000001</v>
      </c>
      <c r="AE122">
        <v>-6.6387654999999999</v>
      </c>
    </row>
    <row r="123" spans="1:31" x14ac:dyDescent="0.35">
      <c r="A123">
        <v>373489</v>
      </c>
      <c r="B123" s="2">
        <v>45877.70208333333</v>
      </c>
      <c r="C123" s="3">
        <v>45877</v>
      </c>
      <c r="D123" s="4">
        <v>0.70226851851851857</v>
      </c>
      <c r="E123">
        <v>0.70226851851851857</v>
      </c>
      <c r="F123" t="s">
        <v>31</v>
      </c>
      <c r="G123">
        <v>7</v>
      </c>
      <c r="H123">
        <v>4009</v>
      </c>
      <c r="I123">
        <v>77</v>
      </c>
      <c r="J123">
        <v>0</v>
      </c>
      <c r="K123">
        <v>1.2</v>
      </c>
      <c r="L123">
        <v>0.70208333332993789</v>
      </c>
      <c r="M123">
        <f t="shared" si="3"/>
        <v>0.67777777777519077</v>
      </c>
      <c r="N123" s="5">
        <v>56.5851019999999</v>
      </c>
      <c r="O123">
        <v>-6.6382159999999999</v>
      </c>
      <c r="P123">
        <v>45877.70208333333</v>
      </c>
      <c r="Q123" s="6">
        <v>2.2348046073714014E-2</v>
      </c>
      <c r="R123" s="6">
        <f t="shared" si="4"/>
        <v>4.3668029581730395E-3</v>
      </c>
      <c r="S123" s="6">
        <f t="shared" si="6"/>
        <v>366.88366923738198</v>
      </c>
      <c r="T123">
        <v>13</v>
      </c>
      <c r="U123">
        <v>0</v>
      </c>
      <c r="V123">
        <v>0</v>
      </c>
      <c r="W123">
        <v>23</v>
      </c>
      <c r="X123">
        <v>0</v>
      </c>
      <c r="Y123">
        <v>0</v>
      </c>
      <c r="Z123">
        <v>0</v>
      </c>
      <c r="AA123">
        <v>-274</v>
      </c>
      <c r="AB123">
        <v>-216</v>
      </c>
      <c r="AC123">
        <v>995</v>
      </c>
      <c r="AD123">
        <v>56.585088499999955</v>
      </c>
      <c r="AE123">
        <v>-6.6382339999999997</v>
      </c>
    </row>
    <row r="124" spans="1:31" x14ac:dyDescent="0.35">
      <c r="A124">
        <v>373489</v>
      </c>
      <c r="B124" s="2">
        <v>45877.65347222222</v>
      </c>
      <c r="C124" s="3">
        <v>45877</v>
      </c>
      <c r="D124" s="4">
        <v>0.6536805555555556</v>
      </c>
      <c r="E124">
        <v>0.6536805555555556</v>
      </c>
      <c r="F124" t="s">
        <v>31</v>
      </c>
      <c r="G124">
        <v>5</v>
      </c>
      <c r="H124">
        <v>4012</v>
      </c>
      <c r="I124">
        <v>77</v>
      </c>
      <c r="J124">
        <v>0</v>
      </c>
      <c r="K124">
        <v>2</v>
      </c>
      <c r="L124">
        <v>0.65347222222044365</v>
      </c>
      <c r="M124">
        <f t="shared" si="3"/>
        <v>0.72291666666569654</v>
      </c>
      <c r="N124" s="5">
        <v>56.585140000000003</v>
      </c>
      <c r="O124">
        <v>-6.6382339999999997</v>
      </c>
      <c r="P124">
        <v>45877.65347222222</v>
      </c>
      <c r="Q124" s="6">
        <v>2.228911708813433E-2</v>
      </c>
      <c r="R124" s="6">
        <f t="shared" si="4"/>
        <v>5.7757969168892431E-3</v>
      </c>
      <c r="S124" s="6">
        <f t="shared" si="6"/>
        <v>366.88944503429889</v>
      </c>
      <c r="T124">
        <v>15</v>
      </c>
      <c r="U124">
        <v>0</v>
      </c>
      <c r="V124">
        <v>0</v>
      </c>
      <c r="W124">
        <v>22</v>
      </c>
      <c r="X124">
        <v>0</v>
      </c>
      <c r="Y124">
        <v>0</v>
      </c>
      <c r="Z124">
        <v>0</v>
      </c>
      <c r="AA124">
        <v>-161</v>
      </c>
      <c r="AB124">
        <v>-354</v>
      </c>
      <c r="AC124">
        <v>972</v>
      </c>
      <c r="AD124">
        <v>56.585128499999954</v>
      </c>
      <c r="AE124">
        <v>-6.6382560000000002</v>
      </c>
    </row>
    <row r="125" spans="1:31" x14ac:dyDescent="0.35">
      <c r="A125">
        <v>373489</v>
      </c>
      <c r="B125" s="2">
        <v>45877.792361111111</v>
      </c>
      <c r="C125" s="3">
        <v>45877</v>
      </c>
      <c r="D125" s="4">
        <v>0.79259259259259263</v>
      </c>
      <c r="E125">
        <v>0.79259259259259263</v>
      </c>
      <c r="F125" t="s">
        <v>31</v>
      </c>
      <c r="G125">
        <v>5</v>
      </c>
      <c r="H125">
        <v>3998</v>
      </c>
      <c r="I125">
        <v>75</v>
      </c>
      <c r="J125">
        <v>0</v>
      </c>
      <c r="K125">
        <v>1.8</v>
      </c>
      <c r="L125">
        <v>0.79236111111094942</v>
      </c>
      <c r="M125">
        <f t="shared" si="3"/>
        <v>0.17083333333721384</v>
      </c>
      <c r="N125" s="5">
        <v>56.58511</v>
      </c>
      <c r="O125">
        <v>-6.6383109999999999</v>
      </c>
      <c r="P125">
        <v>45877.792361111111</v>
      </c>
      <c r="Q125" s="6">
        <v>2.2024102429610209E-2</v>
      </c>
      <c r="R125" s="6">
        <f t="shared" si="4"/>
        <v>5.1786359201945228E-2</v>
      </c>
      <c r="S125" s="6">
        <f t="shared" si="6"/>
        <v>366.94123139350086</v>
      </c>
      <c r="T125">
        <v>14</v>
      </c>
      <c r="U125">
        <v>0</v>
      </c>
      <c r="V125">
        <v>0</v>
      </c>
      <c r="W125">
        <v>20</v>
      </c>
      <c r="X125">
        <v>0</v>
      </c>
      <c r="Y125">
        <v>0</v>
      </c>
      <c r="Z125">
        <v>0</v>
      </c>
      <c r="AA125">
        <v>-157</v>
      </c>
      <c r="AB125">
        <v>-33</v>
      </c>
      <c r="AC125">
        <v>1048</v>
      </c>
      <c r="AD125">
        <v>56.585098500000001</v>
      </c>
      <c r="AE125">
        <v>-6.6382895</v>
      </c>
    </row>
    <row r="126" spans="1:31" x14ac:dyDescent="0.35">
      <c r="A126">
        <v>373489</v>
      </c>
      <c r="B126" s="2">
        <v>45878.549305555556</v>
      </c>
      <c r="C126" s="3">
        <v>45878</v>
      </c>
      <c r="D126" s="4">
        <v>0.54989583333333336</v>
      </c>
      <c r="E126">
        <v>0.54989583333333336</v>
      </c>
      <c r="F126" t="s">
        <v>31</v>
      </c>
      <c r="G126">
        <v>6</v>
      </c>
      <c r="H126">
        <v>3987</v>
      </c>
      <c r="I126">
        <v>73</v>
      </c>
      <c r="J126">
        <v>0</v>
      </c>
      <c r="K126">
        <v>1.7</v>
      </c>
      <c r="L126">
        <v>0.54930555555620231</v>
      </c>
      <c r="M126">
        <f t="shared" si="3"/>
        <v>0.83402777777519077</v>
      </c>
      <c r="N126" s="5">
        <v>56.584915000000002</v>
      </c>
      <c r="O126">
        <v>-6.6390789999999997</v>
      </c>
      <c r="P126">
        <v>45878.549305555556</v>
      </c>
      <c r="Q126" s="6">
        <v>2.1868206992697148E-2</v>
      </c>
      <c r="R126" s="6">
        <f t="shared" si="4"/>
        <v>4.5501446981890868E-2</v>
      </c>
      <c r="S126" s="6">
        <f t="shared" si="6"/>
        <v>366.98673284048277</v>
      </c>
      <c r="T126">
        <v>12</v>
      </c>
      <c r="U126">
        <v>0</v>
      </c>
      <c r="V126">
        <v>321</v>
      </c>
      <c r="W126">
        <v>24</v>
      </c>
      <c r="X126">
        <v>0</v>
      </c>
      <c r="Y126">
        <v>0</v>
      </c>
      <c r="Z126">
        <v>0</v>
      </c>
      <c r="AA126">
        <v>57</v>
      </c>
      <c r="AB126">
        <v>342</v>
      </c>
      <c r="AC126">
        <v>935</v>
      </c>
      <c r="AD126">
        <v>56.584895999999951</v>
      </c>
      <c r="AE126">
        <v>-6.6391274999999998</v>
      </c>
    </row>
    <row r="127" spans="1:31" x14ac:dyDescent="0.35">
      <c r="A127">
        <v>373489</v>
      </c>
      <c r="B127" s="2">
        <v>45877.118750000001</v>
      </c>
      <c r="C127" s="3">
        <v>45877</v>
      </c>
      <c r="D127" s="4">
        <v>0.11900462962962963</v>
      </c>
      <c r="E127">
        <v>0.11900462962962963</v>
      </c>
      <c r="F127" t="s">
        <v>31</v>
      </c>
      <c r="G127">
        <v>4</v>
      </c>
      <c r="H127">
        <v>4106</v>
      </c>
      <c r="I127">
        <v>93</v>
      </c>
      <c r="J127">
        <v>0</v>
      </c>
      <c r="K127">
        <v>1.6</v>
      </c>
      <c r="L127">
        <v>0.11875000000145519</v>
      </c>
      <c r="M127">
        <f t="shared" si="3"/>
        <v>0.29236111111094942</v>
      </c>
      <c r="N127" s="5">
        <v>56.585278000000002</v>
      </c>
      <c r="O127">
        <v>-6.6387359999999997</v>
      </c>
      <c r="P127">
        <v>45877.118750000001</v>
      </c>
      <c r="Q127" s="6">
        <v>2.1811333635109179E-2</v>
      </c>
      <c r="R127" s="6">
        <f t="shared" si="4"/>
        <v>2.1844894473162828E-2</v>
      </c>
      <c r="S127" s="6">
        <f t="shared" si="6"/>
        <v>367.00857773495596</v>
      </c>
      <c r="T127">
        <v>22</v>
      </c>
      <c r="U127">
        <v>4</v>
      </c>
      <c r="V127">
        <v>24</v>
      </c>
      <c r="W127">
        <v>16</v>
      </c>
      <c r="X127">
        <v>0</v>
      </c>
      <c r="Y127">
        <v>0</v>
      </c>
      <c r="Z127">
        <v>0</v>
      </c>
      <c r="AA127">
        <v>-96</v>
      </c>
      <c r="AB127">
        <v>-230</v>
      </c>
      <c r="AC127">
        <v>1022</v>
      </c>
      <c r="AD127">
        <v>56.585260499999947</v>
      </c>
      <c r="AE127">
        <v>-6.6387285</v>
      </c>
    </row>
    <row r="128" spans="1:31" x14ac:dyDescent="0.35">
      <c r="A128">
        <v>373489</v>
      </c>
      <c r="B128" s="2">
        <v>45877.46597222222</v>
      </c>
      <c r="C128" s="3">
        <v>45877</v>
      </c>
      <c r="D128" s="4">
        <v>0.46615740740740741</v>
      </c>
      <c r="E128">
        <v>0.46615740740740741</v>
      </c>
      <c r="F128" t="s">
        <v>31</v>
      </c>
      <c r="G128">
        <v>7</v>
      </c>
      <c r="H128">
        <v>4035</v>
      </c>
      <c r="I128">
        <v>81</v>
      </c>
      <c r="J128">
        <v>0</v>
      </c>
      <c r="K128">
        <v>1.4</v>
      </c>
      <c r="L128">
        <v>0.46597222222044365</v>
      </c>
      <c r="M128">
        <f t="shared" si="3"/>
        <v>5.2777777775190771E-2</v>
      </c>
      <c r="N128" s="5">
        <v>56.585223999999897</v>
      </c>
      <c r="O128">
        <v>-6.6383929999999998</v>
      </c>
      <c r="P128">
        <v>45877.46597222222</v>
      </c>
      <c r="Q128" s="6">
        <v>2.1713848539688951E-2</v>
      </c>
      <c r="R128" s="6">
        <f t="shared" si="4"/>
        <v>5.8036436166811041E-2</v>
      </c>
      <c r="S128" s="6">
        <f t="shared" si="6"/>
        <v>367.06661417112275</v>
      </c>
      <c r="T128">
        <v>16</v>
      </c>
      <c r="U128">
        <v>0</v>
      </c>
      <c r="V128">
        <v>122</v>
      </c>
      <c r="W128">
        <v>18</v>
      </c>
      <c r="X128">
        <v>0</v>
      </c>
      <c r="Y128">
        <v>0</v>
      </c>
      <c r="Z128">
        <v>0</v>
      </c>
      <c r="AA128">
        <v>-163</v>
      </c>
      <c r="AB128">
        <v>14</v>
      </c>
      <c r="AC128">
        <v>1038</v>
      </c>
      <c r="AD128">
        <v>56.585237499999948</v>
      </c>
      <c r="AE128">
        <v>-6.6384094999999999</v>
      </c>
    </row>
    <row r="129" spans="1:31" x14ac:dyDescent="0.35">
      <c r="A129">
        <v>373489</v>
      </c>
      <c r="B129" s="2">
        <v>45878.63958333333</v>
      </c>
      <c r="C129" s="3">
        <v>45878</v>
      </c>
      <c r="D129" s="4">
        <v>0.63981481481481484</v>
      </c>
      <c r="E129">
        <v>0.63981481481481484</v>
      </c>
      <c r="F129" t="s">
        <v>31</v>
      </c>
      <c r="G129">
        <v>5</v>
      </c>
      <c r="H129">
        <v>3990</v>
      </c>
      <c r="I129">
        <v>73</v>
      </c>
      <c r="J129">
        <v>0</v>
      </c>
      <c r="K129">
        <v>2</v>
      </c>
      <c r="L129">
        <v>0.63958333332993789</v>
      </c>
      <c r="M129">
        <f t="shared" si="3"/>
        <v>0.226388888884685</v>
      </c>
      <c r="N129" s="5">
        <v>56.584952999999899</v>
      </c>
      <c r="O129">
        <v>-6.6392030000000002</v>
      </c>
      <c r="P129">
        <v>45878.63958333333</v>
      </c>
      <c r="Q129" s="6">
        <v>2.1037416303573166E-2</v>
      </c>
      <c r="R129" s="6">
        <f t="shared" si="4"/>
        <v>6.1724271967430348E-2</v>
      </c>
      <c r="S129" s="6">
        <f t="shared" si="6"/>
        <v>367.12833844309017</v>
      </c>
      <c r="T129">
        <v>25</v>
      </c>
      <c r="U129">
        <v>0</v>
      </c>
      <c r="V129">
        <v>178</v>
      </c>
      <c r="W129">
        <v>21</v>
      </c>
      <c r="X129">
        <v>0</v>
      </c>
      <c r="Y129">
        <v>0</v>
      </c>
      <c r="Z129">
        <v>0</v>
      </c>
      <c r="AA129">
        <v>-264</v>
      </c>
      <c r="AB129">
        <v>-157</v>
      </c>
      <c r="AC129">
        <v>1008</v>
      </c>
      <c r="AD129">
        <v>56.58492449999995</v>
      </c>
      <c r="AE129">
        <v>-6.6392275000000005</v>
      </c>
    </row>
    <row r="130" spans="1:31" x14ac:dyDescent="0.35">
      <c r="A130">
        <v>373489</v>
      </c>
      <c r="B130" s="2">
        <v>45877.813194444447</v>
      </c>
      <c r="C130" s="3">
        <v>45877</v>
      </c>
      <c r="D130" s="4">
        <v>0.81339120370370366</v>
      </c>
      <c r="E130">
        <v>0.81339120370370366</v>
      </c>
      <c r="F130" t="s">
        <v>31</v>
      </c>
      <c r="G130">
        <v>5</v>
      </c>
      <c r="H130">
        <v>3998</v>
      </c>
      <c r="I130">
        <v>75</v>
      </c>
      <c r="J130">
        <v>0</v>
      </c>
      <c r="K130">
        <v>1.3</v>
      </c>
      <c r="L130">
        <v>0.81319444444670808</v>
      </c>
      <c r="M130">
        <f t="shared" ref="M130:M193" si="7">AVERAGE(P130:P131)-INT(AVERAGE(P130:P131))</f>
        <v>0.28194444444670808</v>
      </c>
      <c r="N130" s="5">
        <v>56.5851019999999</v>
      </c>
      <c r="O130">
        <v>-6.6382320000000004</v>
      </c>
      <c r="P130">
        <v>45877.813194444447</v>
      </c>
      <c r="Q130" s="6">
        <v>2.1037395355702909E-2</v>
      </c>
      <c r="R130" s="6">
        <f t="shared" ref="R130:R193" si="8">(6371*2*ASIN(SQRT((SIN((RADIANS($N130)-RADIANS($N131))/2)^2)+COS(RADIANS($N131))*COS(RADIANS($N130))*(SIN((RADIANS($O130)-RADIANS($O131))/2)^2))))</f>
        <v>3.3996660642471616E-2</v>
      </c>
      <c r="S130" s="6">
        <f t="shared" si="6"/>
        <v>367.16233510373263</v>
      </c>
      <c r="T130">
        <v>16</v>
      </c>
      <c r="U130">
        <v>0</v>
      </c>
      <c r="V130">
        <v>0</v>
      </c>
      <c r="W130">
        <v>18</v>
      </c>
      <c r="X130">
        <v>0</v>
      </c>
      <c r="Y130">
        <v>0</v>
      </c>
      <c r="Z130">
        <v>0</v>
      </c>
      <c r="AA130">
        <v>-224</v>
      </c>
      <c r="AB130">
        <v>-95</v>
      </c>
      <c r="AC130">
        <v>1026</v>
      </c>
      <c r="AD130">
        <v>56.585130499999899</v>
      </c>
      <c r="AE130">
        <v>-6.6382565000000007</v>
      </c>
    </row>
    <row r="131" spans="1:31" x14ac:dyDescent="0.35">
      <c r="A131">
        <v>373489</v>
      </c>
      <c r="B131" s="2">
        <v>45876.750694444447</v>
      </c>
      <c r="C131" s="3">
        <v>45876</v>
      </c>
      <c r="D131" s="4">
        <v>0.75103009259259257</v>
      </c>
      <c r="E131">
        <v>0.75103009259259257</v>
      </c>
      <c r="F131" t="s">
        <v>31</v>
      </c>
      <c r="G131">
        <v>5</v>
      </c>
      <c r="H131">
        <v>4166</v>
      </c>
      <c r="I131">
        <v>100</v>
      </c>
      <c r="J131">
        <v>0</v>
      </c>
      <c r="K131">
        <v>2</v>
      </c>
      <c r="L131">
        <v>0.75069444444670808</v>
      </c>
      <c r="M131">
        <f t="shared" si="7"/>
        <v>0.79930555555620231</v>
      </c>
      <c r="N131" s="5">
        <v>56.585273999999899</v>
      </c>
      <c r="O131">
        <v>-6.6386909999999997</v>
      </c>
      <c r="P131">
        <v>45876.750694444447</v>
      </c>
      <c r="Q131" s="6">
        <v>2.0928783669593963E-2</v>
      </c>
      <c r="R131" s="6">
        <f t="shared" si="8"/>
        <v>5.1856611284956472E-2</v>
      </c>
      <c r="S131" s="6">
        <f t="shared" si="6"/>
        <v>367.21419171501759</v>
      </c>
      <c r="T131">
        <v>22</v>
      </c>
      <c r="U131">
        <v>0</v>
      </c>
      <c r="V131">
        <v>0</v>
      </c>
      <c r="W131">
        <v>18</v>
      </c>
      <c r="X131">
        <v>0</v>
      </c>
      <c r="Y131">
        <v>0</v>
      </c>
      <c r="Z131">
        <v>0</v>
      </c>
      <c r="AA131">
        <v>-186</v>
      </c>
      <c r="AB131">
        <v>-311</v>
      </c>
      <c r="AC131">
        <v>998</v>
      </c>
      <c r="AD131">
        <v>56.585260499999947</v>
      </c>
      <c r="AE131">
        <v>-6.6387055000000004</v>
      </c>
    </row>
    <row r="132" spans="1:31" x14ac:dyDescent="0.35">
      <c r="A132">
        <v>373489</v>
      </c>
      <c r="B132" s="2">
        <v>45878.847916666666</v>
      </c>
      <c r="C132" s="3">
        <v>45878</v>
      </c>
      <c r="D132" s="4">
        <v>0.8481481481481481</v>
      </c>
      <c r="E132">
        <v>0.8481481481481481</v>
      </c>
      <c r="F132" t="s">
        <v>31</v>
      </c>
      <c r="G132">
        <v>4</v>
      </c>
      <c r="H132">
        <v>3970</v>
      </c>
      <c r="I132">
        <v>70</v>
      </c>
      <c r="J132">
        <v>0</v>
      </c>
      <c r="K132">
        <v>1.6</v>
      </c>
      <c r="L132">
        <v>0.84791666666569654</v>
      </c>
      <c r="M132">
        <f t="shared" si="7"/>
        <v>0.257638888884685</v>
      </c>
      <c r="N132" s="5">
        <v>56.584946000000002</v>
      </c>
      <c r="O132">
        <v>-6.6392930000000003</v>
      </c>
      <c r="P132">
        <v>45878.847916666666</v>
      </c>
      <c r="Q132" s="6">
        <v>2.0389263576905049E-2</v>
      </c>
      <c r="R132" s="6">
        <f t="shared" si="8"/>
        <v>6.4765141402828144E-2</v>
      </c>
      <c r="S132" s="6">
        <f t="shared" si="6"/>
        <v>367.27895685642039</v>
      </c>
      <c r="T132">
        <v>19</v>
      </c>
      <c r="U132">
        <v>2</v>
      </c>
      <c r="V132">
        <v>284</v>
      </c>
      <c r="W132">
        <v>18</v>
      </c>
      <c r="X132">
        <v>0</v>
      </c>
      <c r="Y132">
        <v>0</v>
      </c>
      <c r="Z132">
        <v>0</v>
      </c>
      <c r="AA132">
        <v>-177</v>
      </c>
      <c r="AB132">
        <v>-190</v>
      </c>
      <c r="AC132">
        <v>1022</v>
      </c>
      <c r="AD132">
        <v>56.584915500000001</v>
      </c>
      <c r="AE132">
        <v>-6.6392965000000004</v>
      </c>
    </row>
    <row r="133" spans="1:31" x14ac:dyDescent="0.35">
      <c r="A133">
        <v>373489</v>
      </c>
      <c r="B133" s="2">
        <v>45877.667361111111</v>
      </c>
      <c r="C133" s="3">
        <v>45877</v>
      </c>
      <c r="D133" s="4">
        <v>0.66774305555555558</v>
      </c>
      <c r="E133">
        <v>0.66774305555555558</v>
      </c>
      <c r="F133" t="s">
        <v>31</v>
      </c>
      <c r="G133">
        <v>8</v>
      </c>
      <c r="H133">
        <v>4015</v>
      </c>
      <c r="I133">
        <v>78</v>
      </c>
      <c r="J133">
        <v>0</v>
      </c>
      <c r="K133">
        <v>1.3</v>
      </c>
      <c r="L133">
        <v>0.66736111111094942</v>
      </c>
      <c r="M133">
        <f t="shared" si="7"/>
        <v>0.37916666666569654</v>
      </c>
      <c r="N133" s="5">
        <v>56.585098000000002</v>
      </c>
      <c r="O133">
        <v>-6.6382719999999997</v>
      </c>
      <c r="P133">
        <v>45877.667361111111</v>
      </c>
      <c r="Q133" s="6">
        <v>2.035740499544534E-2</v>
      </c>
      <c r="R133" s="6">
        <f t="shared" si="8"/>
        <v>2.8267883684698777E-2</v>
      </c>
      <c r="S133" s="6">
        <f t="shared" si="6"/>
        <v>367.30722474010508</v>
      </c>
      <c r="T133">
        <v>14</v>
      </c>
      <c r="U133">
        <v>0</v>
      </c>
      <c r="V133">
        <v>0</v>
      </c>
      <c r="W133">
        <v>23</v>
      </c>
      <c r="X133">
        <v>0</v>
      </c>
      <c r="Y133">
        <v>0</v>
      </c>
      <c r="Z133">
        <v>0</v>
      </c>
      <c r="AA133">
        <v>-180</v>
      </c>
      <c r="AB133">
        <v>-62</v>
      </c>
      <c r="AC133">
        <v>1058</v>
      </c>
      <c r="AD133">
        <v>56.58508499999995</v>
      </c>
      <c r="AE133">
        <v>-6.6382864999999995</v>
      </c>
    </row>
    <row r="134" spans="1:31" x14ac:dyDescent="0.35">
      <c r="A134">
        <v>373489</v>
      </c>
      <c r="B134" s="2">
        <v>45877.09097222222</v>
      </c>
      <c r="C134" s="3">
        <v>45877</v>
      </c>
      <c r="D134" s="4">
        <v>9.1134259259259262E-2</v>
      </c>
      <c r="E134">
        <v>9.1134259259259262E-2</v>
      </c>
      <c r="F134" t="s">
        <v>31</v>
      </c>
      <c r="G134">
        <v>5</v>
      </c>
      <c r="H134">
        <v>4112</v>
      </c>
      <c r="I134">
        <v>94</v>
      </c>
      <c r="J134">
        <v>0</v>
      </c>
      <c r="K134">
        <v>1.2</v>
      </c>
      <c r="L134">
        <v>9.0972222220443655E-2</v>
      </c>
      <c r="M134">
        <f t="shared" si="7"/>
        <v>0.11874999999417923</v>
      </c>
      <c r="N134" s="5">
        <v>56.58522</v>
      </c>
      <c r="O134">
        <v>-6.6386770000000004</v>
      </c>
      <c r="P134">
        <v>45877.09097222222</v>
      </c>
      <c r="Q134" s="6">
        <v>2.0258598071500825E-2</v>
      </c>
      <c r="R134" s="6">
        <f t="shared" si="8"/>
        <v>6.2087033426576274E-3</v>
      </c>
      <c r="S134" s="6">
        <f t="shared" si="6"/>
        <v>367.31343344344776</v>
      </c>
      <c r="T134">
        <v>17</v>
      </c>
      <c r="U134">
        <v>0</v>
      </c>
      <c r="V134">
        <v>0</v>
      </c>
      <c r="W134">
        <v>17</v>
      </c>
      <c r="X134">
        <v>0</v>
      </c>
      <c r="Y134">
        <v>0</v>
      </c>
      <c r="Z134">
        <v>0</v>
      </c>
      <c r="AA134">
        <v>-100</v>
      </c>
      <c r="AB134">
        <v>-141</v>
      </c>
      <c r="AC134">
        <v>1036</v>
      </c>
      <c r="AD134">
        <v>56.585231499999949</v>
      </c>
      <c r="AE134">
        <v>-6.6386950000000002</v>
      </c>
    </row>
    <row r="135" spans="1:31" x14ac:dyDescent="0.35">
      <c r="A135">
        <v>373489</v>
      </c>
      <c r="B135" s="2">
        <v>45877.146527777775</v>
      </c>
      <c r="C135" s="3">
        <v>45877</v>
      </c>
      <c r="D135" s="4">
        <v>0.14682870370370371</v>
      </c>
      <c r="E135">
        <v>0.14682870370370371</v>
      </c>
      <c r="F135" t="s">
        <v>31</v>
      </c>
      <c r="G135">
        <v>6</v>
      </c>
      <c r="H135">
        <v>4098</v>
      </c>
      <c r="I135">
        <v>91</v>
      </c>
      <c r="J135">
        <v>0</v>
      </c>
      <c r="K135">
        <v>1.6</v>
      </c>
      <c r="L135">
        <v>0.14652777777519077</v>
      </c>
      <c r="M135">
        <f t="shared" si="7"/>
        <v>0.11527777777519077</v>
      </c>
      <c r="N135" s="5">
        <v>56.585254999999897</v>
      </c>
      <c r="O135">
        <v>-6.6387559999999999</v>
      </c>
      <c r="P135">
        <v>45877.146527777775</v>
      </c>
      <c r="Q135" s="6">
        <v>2.0167511505265714E-2</v>
      </c>
      <c r="R135" s="6">
        <f t="shared" si="8"/>
        <v>2.8807229795258711E-3</v>
      </c>
      <c r="S135" s="6">
        <f t="shared" si="6"/>
        <v>367.31631416642728</v>
      </c>
      <c r="T135">
        <v>13</v>
      </c>
      <c r="U135">
        <v>0</v>
      </c>
      <c r="V135">
        <v>0</v>
      </c>
      <c r="W135">
        <v>15</v>
      </c>
      <c r="X135">
        <v>0</v>
      </c>
      <c r="Y135">
        <v>0</v>
      </c>
      <c r="Z135">
        <v>0</v>
      </c>
      <c r="AA135">
        <v>-179</v>
      </c>
      <c r="AB135">
        <v>-368</v>
      </c>
      <c r="AC135">
        <v>975</v>
      </c>
      <c r="AD135">
        <v>56.585267999999949</v>
      </c>
      <c r="AE135">
        <v>-6.6387420000000006</v>
      </c>
    </row>
    <row r="136" spans="1:31" x14ac:dyDescent="0.35">
      <c r="A136">
        <v>373489</v>
      </c>
      <c r="B136" s="2">
        <v>45877.084027777775</v>
      </c>
      <c r="C136" s="3">
        <v>45877</v>
      </c>
      <c r="D136" s="4">
        <v>8.4212962962962962E-2</v>
      </c>
      <c r="E136">
        <v>8.4212962962962962E-2</v>
      </c>
      <c r="F136" t="s">
        <v>31</v>
      </c>
      <c r="G136">
        <v>6</v>
      </c>
      <c r="H136">
        <v>4112</v>
      </c>
      <c r="I136">
        <v>94</v>
      </c>
      <c r="J136">
        <v>0</v>
      </c>
      <c r="K136">
        <v>1</v>
      </c>
      <c r="L136">
        <v>8.4027777775190771E-2</v>
      </c>
      <c r="M136">
        <f t="shared" si="7"/>
        <v>0.97291666666569654</v>
      </c>
      <c r="N136" s="5">
        <v>56.585239000000001</v>
      </c>
      <c r="O136">
        <v>-6.638719</v>
      </c>
      <c r="P136">
        <v>45877.084027777775</v>
      </c>
      <c r="Q136" s="6">
        <v>1.9970127526873348E-2</v>
      </c>
      <c r="R136" s="6">
        <f t="shared" si="8"/>
        <v>3.0148255630864044E-3</v>
      </c>
      <c r="S136" s="6">
        <f t="shared" si="6"/>
        <v>367.31932899199035</v>
      </c>
      <c r="T136">
        <v>19</v>
      </c>
      <c r="U136">
        <v>0</v>
      </c>
      <c r="V136">
        <v>119</v>
      </c>
      <c r="W136">
        <v>18</v>
      </c>
      <c r="X136">
        <v>0</v>
      </c>
      <c r="Y136">
        <v>0</v>
      </c>
      <c r="Z136">
        <v>0</v>
      </c>
      <c r="AA136">
        <v>-158</v>
      </c>
      <c r="AB136">
        <v>-190</v>
      </c>
      <c r="AC136">
        <v>1032</v>
      </c>
      <c r="AD136">
        <v>56.585229499999997</v>
      </c>
      <c r="AE136">
        <v>-6.6386979999999998</v>
      </c>
    </row>
    <row r="137" spans="1:31" x14ac:dyDescent="0.35">
      <c r="A137">
        <v>373489</v>
      </c>
      <c r="B137" s="2">
        <v>45876.861805555556</v>
      </c>
      <c r="C137" s="3">
        <v>45876</v>
      </c>
      <c r="D137" s="4">
        <v>0.86200231481481482</v>
      </c>
      <c r="E137">
        <v>0.86200231481481482</v>
      </c>
      <c r="F137" t="s">
        <v>31</v>
      </c>
      <c r="G137">
        <v>4</v>
      </c>
      <c r="H137">
        <v>4143</v>
      </c>
      <c r="I137">
        <v>99</v>
      </c>
      <c r="J137">
        <v>0</v>
      </c>
      <c r="K137">
        <v>1.6</v>
      </c>
      <c r="L137">
        <v>0.86180555555620231</v>
      </c>
      <c r="M137">
        <f t="shared" si="7"/>
        <v>0.80277777777519077</v>
      </c>
      <c r="N137" s="5">
        <v>56.585228000000001</v>
      </c>
      <c r="O137">
        <v>-6.6387640000000001</v>
      </c>
      <c r="P137">
        <v>45876.861805555556</v>
      </c>
      <c r="Q137" s="6">
        <v>1.9836731100906432E-2</v>
      </c>
      <c r="R137" s="6">
        <f t="shared" si="8"/>
        <v>3.4991391005366889E-3</v>
      </c>
      <c r="S137" s="6">
        <f t="shared" si="6"/>
        <v>367.32282813109089</v>
      </c>
      <c r="T137">
        <v>11</v>
      </c>
      <c r="U137">
        <v>1</v>
      </c>
      <c r="V137">
        <v>21</v>
      </c>
      <c r="W137">
        <v>17</v>
      </c>
      <c r="X137">
        <v>0</v>
      </c>
      <c r="Y137">
        <v>0</v>
      </c>
      <c r="Z137">
        <v>0</v>
      </c>
      <c r="AA137">
        <v>-186</v>
      </c>
      <c r="AB137">
        <v>-117</v>
      </c>
      <c r="AC137">
        <v>1030</v>
      </c>
      <c r="AD137">
        <v>56.585223999999997</v>
      </c>
      <c r="AE137">
        <v>-6.638738</v>
      </c>
    </row>
    <row r="138" spans="1:31" x14ac:dyDescent="0.35">
      <c r="A138">
        <v>373489</v>
      </c>
      <c r="B138" s="2">
        <v>45876.743750000001</v>
      </c>
      <c r="C138" s="3">
        <v>45876</v>
      </c>
      <c r="D138" s="4">
        <v>0.74394675925925924</v>
      </c>
      <c r="E138">
        <v>0.74394675925925924</v>
      </c>
      <c r="F138" t="s">
        <v>31</v>
      </c>
      <c r="G138">
        <v>5</v>
      </c>
      <c r="H138">
        <v>4166</v>
      </c>
      <c r="I138">
        <v>100</v>
      </c>
      <c r="J138">
        <v>0</v>
      </c>
      <c r="K138">
        <v>1.9</v>
      </c>
      <c r="L138">
        <v>0.74375000000145519</v>
      </c>
      <c r="M138">
        <f t="shared" si="7"/>
        <v>0.96250000000145519</v>
      </c>
      <c r="N138" s="5">
        <v>56.585251</v>
      </c>
      <c r="O138">
        <v>-6.638725</v>
      </c>
      <c r="P138">
        <v>45876.743750000001</v>
      </c>
      <c r="Q138" s="6">
        <v>1.9786666645149831E-2</v>
      </c>
      <c r="R138" s="6">
        <f t="shared" si="8"/>
        <v>3.0978724943023861E-3</v>
      </c>
      <c r="S138" s="6">
        <f t="shared" si="6"/>
        <v>367.32592600358521</v>
      </c>
      <c r="T138">
        <v>8</v>
      </c>
      <c r="U138">
        <v>0</v>
      </c>
      <c r="V138">
        <v>305</v>
      </c>
      <c r="W138">
        <v>20</v>
      </c>
      <c r="X138">
        <v>0</v>
      </c>
      <c r="Y138">
        <v>0</v>
      </c>
      <c r="Z138">
        <v>0</v>
      </c>
      <c r="AA138">
        <v>-222</v>
      </c>
      <c r="AB138">
        <v>-192</v>
      </c>
      <c r="AC138">
        <v>1008</v>
      </c>
      <c r="AD138">
        <v>56.585262499999949</v>
      </c>
      <c r="AE138">
        <v>-6.6387079999999994</v>
      </c>
    </row>
    <row r="139" spans="1:31" x14ac:dyDescent="0.35">
      <c r="A139">
        <v>373489</v>
      </c>
      <c r="B139" s="2">
        <v>45877.181250000001</v>
      </c>
      <c r="C139" s="3">
        <v>45877</v>
      </c>
      <c r="D139" s="4">
        <v>0.18144675925925927</v>
      </c>
      <c r="E139">
        <v>0.18144675925925927</v>
      </c>
      <c r="F139" t="s">
        <v>31</v>
      </c>
      <c r="G139">
        <v>6</v>
      </c>
      <c r="H139">
        <v>4089</v>
      </c>
      <c r="I139">
        <v>90</v>
      </c>
      <c r="J139">
        <v>0</v>
      </c>
      <c r="K139">
        <v>1.6</v>
      </c>
      <c r="L139">
        <v>0.18125000000145519</v>
      </c>
      <c r="M139">
        <f t="shared" si="7"/>
        <v>0.25416666666569654</v>
      </c>
      <c r="N139" s="5">
        <v>56.585270000000001</v>
      </c>
      <c r="O139">
        <v>-6.6387619999999998</v>
      </c>
      <c r="P139">
        <v>45877.181250000001</v>
      </c>
      <c r="Q139" s="6">
        <v>1.9596394401664555E-2</v>
      </c>
      <c r="R139" s="6">
        <f t="shared" si="8"/>
        <v>2.0783021620253875E-2</v>
      </c>
      <c r="S139" s="6">
        <f t="shared" si="6"/>
        <v>367.34670902520548</v>
      </c>
      <c r="T139">
        <v>11</v>
      </c>
      <c r="U139">
        <v>0</v>
      </c>
      <c r="V139">
        <v>0</v>
      </c>
      <c r="W139">
        <v>16</v>
      </c>
      <c r="X139">
        <v>0</v>
      </c>
      <c r="Y139">
        <v>0</v>
      </c>
      <c r="Z139">
        <v>0</v>
      </c>
      <c r="AA139">
        <v>-143</v>
      </c>
      <c r="AB139">
        <v>-374</v>
      </c>
      <c r="AC139">
        <v>983</v>
      </c>
      <c r="AD139">
        <v>56.585283499999946</v>
      </c>
      <c r="AE139">
        <v>-6.6387725</v>
      </c>
    </row>
    <row r="140" spans="1:31" x14ac:dyDescent="0.35">
      <c r="A140">
        <v>373489</v>
      </c>
      <c r="B140" s="2">
        <v>45877.32708333333</v>
      </c>
      <c r="C140" s="3">
        <v>45877</v>
      </c>
      <c r="D140" s="4">
        <v>0.32734953703703706</v>
      </c>
      <c r="E140">
        <v>0.32734953703703706</v>
      </c>
      <c r="F140" t="s">
        <v>31</v>
      </c>
      <c r="G140">
        <v>5</v>
      </c>
      <c r="H140">
        <v>4066</v>
      </c>
      <c r="I140">
        <v>86</v>
      </c>
      <c r="J140">
        <v>0</v>
      </c>
      <c r="K140">
        <v>2</v>
      </c>
      <c r="L140">
        <v>0.32708333332993789</v>
      </c>
      <c r="M140">
        <f t="shared" si="7"/>
        <v>0.31319444444670808</v>
      </c>
      <c r="N140" s="5">
        <v>56.585299999999897</v>
      </c>
      <c r="O140">
        <v>-6.6384270000000001</v>
      </c>
      <c r="P140">
        <v>45877.32708333333</v>
      </c>
      <c r="Q140" s="6">
        <v>1.9129998609928648E-2</v>
      </c>
      <c r="R140" s="6">
        <f t="shared" si="8"/>
        <v>9.1067832039844563E-3</v>
      </c>
      <c r="S140" s="6">
        <f t="shared" si="6"/>
        <v>367.35581580840949</v>
      </c>
      <c r="T140">
        <v>4</v>
      </c>
      <c r="U140">
        <v>1</v>
      </c>
      <c r="V140">
        <v>0</v>
      </c>
      <c r="W140">
        <v>17</v>
      </c>
      <c r="X140">
        <v>0</v>
      </c>
      <c r="Y140">
        <v>0</v>
      </c>
      <c r="Z140">
        <v>0</v>
      </c>
      <c r="AA140">
        <v>395</v>
      </c>
      <c r="AB140">
        <v>-745</v>
      </c>
      <c r="AC140">
        <v>510</v>
      </c>
      <c r="AD140">
        <v>56.585303999999894</v>
      </c>
      <c r="AE140">
        <v>-6.6384020000000001</v>
      </c>
    </row>
    <row r="141" spans="1:31" x14ac:dyDescent="0.35">
      <c r="A141">
        <v>373489</v>
      </c>
      <c r="B141" s="2">
        <v>45877.299305555556</v>
      </c>
      <c r="C141" s="3">
        <v>45877</v>
      </c>
      <c r="D141" s="4">
        <v>0.29951388888888891</v>
      </c>
      <c r="E141">
        <v>0.29951388888888891</v>
      </c>
      <c r="F141" t="s">
        <v>31</v>
      </c>
      <c r="G141">
        <v>5</v>
      </c>
      <c r="H141">
        <v>4069</v>
      </c>
      <c r="I141">
        <v>87</v>
      </c>
      <c r="J141">
        <v>0</v>
      </c>
      <c r="K141">
        <v>1.6</v>
      </c>
      <c r="L141">
        <v>0.29930555555620231</v>
      </c>
      <c r="M141">
        <f t="shared" si="7"/>
        <v>3.1944444446708076E-2</v>
      </c>
      <c r="N141" s="5">
        <v>56.5853579999999</v>
      </c>
      <c r="O141">
        <v>-6.6385319999999997</v>
      </c>
      <c r="P141">
        <v>45877.299305555556</v>
      </c>
      <c r="Q141" s="6">
        <v>1.9066759326260434E-2</v>
      </c>
      <c r="R141" s="6">
        <f t="shared" si="8"/>
        <v>1.6193546958197653E-2</v>
      </c>
      <c r="S141" s="6">
        <f t="shared" si="6"/>
        <v>367.37200935536771</v>
      </c>
      <c r="T141">
        <v>16</v>
      </c>
      <c r="U141">
        <v>0</v>
      </c>
      <c r="V141">
        <v>0</v>
      </c>
      <c r="W141">
        <v>18</v>
      </c>
      <c r="X141">
        <v>0</v>
      </c>
      <c r="Y141">
        <v>0</v>
      </c>
      <c r="Z141">
        <v>0</v>
      </c>
      <c r="AA141">
        <v>-154</v>
      </c>
      <c r="AB141">
        <v>-346</v>
      </c>
      <c r="AC141">
        <v>965</v>
      </c>
      <c r="AD141">
        <v>56.585349999999899</v>
      </c>
      <c r="AE141">
        <v>-6.6385104999999998</v>
      </c>
    </row>
    <row r="142" spans="1:31" x14ac:dyDescent="0.35">
      <c r="A142">
        <v>373489</v>
      </c>
      <c r="B142" s="2">
        <v>45876.76458333333</v>
      </c>
      <c r="C142" s="3">
        <v>45876</v>
      </c>
      <c r="D142" s="4">
        <v>0.76480324074074069</v>
      </c>
      <c r="E142">
        <v>0.76480324074074069</v>
      </c>
      <c r="F142" t="s">
        <v>31</v>
      </c>
      <c r="G142">
        <v>8</v>
      </c>
      <c r="H142">
        <v>4157</v>
      </c>
      <c r="I142">
        <v>100</v>
      </c>
      <c r="J142">
        <v>0</v>
      </c>
      <c r="K142">
        <v>1.1000000000000001</v>
      </c>
      <c r="L142">
        <v>0.76458333332993789</v>
      </c>
      <c r="M142">
        <f t="shared" si="7"/>
        <v>0.14305555555620231</v>
      </c>
      <c r="N142" s="5">
        <v>56.585265999999898</v>
      </c>
      <c r="O142">
        <v>-6.6387369999999999</v>
      </c>
      <c r="P142">
        <v>45876.76458333333</v>
      </c>
      <c r="Q142" s="6">
        <v>1.8837763383692734E-2</v>
      </c>
      <c r="R142" s="6">
        <f t="shared" si="8"/>
        <v>2.5907897632844297E-2</v>
      </c>
      <c r="S142" s="6">
        <f t="shared" si="6"/>
        <v>367.39791725300057</v>
      </c>
      <c r="T142">
        <v>21</v>
      </c>
      <c r="U142">
        <v>0</v>
      </c>
      <c r="V142">
        <v>205</v>
      </c>
      <c r="W142">
        <v>19</v>
      </c>
      <c r="X142">
        <v>0</v>
      </c>
      <c r="Y142">
        <v>0</v>
      </c>
      <c r="Z142">
        <v>0</v>
      </c>
      <c r="AA142">
        <v>-201</v>
      </c>
      <c r="AB142">
        <v>-105</v>
      </c>
      <c r="AC142">
        <v>1030</v>
      </c>
      <c r="AD142">
        <v>56.585252499999953</v>
      </c>
      <c r="AE142">
        <v>-6.6387444999999996</v>
      </c>
    </row>
    <row r="143" spans="1:31" x14ac:dyDescent="0.35">
      <c r="A143">
        <v>373489</v>
      </c>
      <c r="B143" s="2">
        <v>45877.521527777775</v>
      </c>
      <c r="C143" s="3">
        <v>45877</v>
      </c>
      <c r="D143" s="4">
        <v>0.52173611111111107</v>
      </c>
      <c r="E143">
        <v>0.52173611111111107</v>
      </c>
      <c r="F143" t="s">
        <v>31</v>
      </c>
      <c r="G143">
        <v>5</v>
      </c>
      <c r="H143">
        <v>4029</v>
      </c>
      <c r="I143">
        <v>80</v>
      </c>
      <c r="J143">
        <v>0</v>
      </c>
      <c r="K143">
        <v>1.4</v>
      </c>
      <c r="L143">
        <v>0.52152777777519077</v>
      </c>
      <c r="M143">
        <f t="shared" si="7"/>
        <v>0.23680555555620231</v>
      </c>
      <c r="N143" s="5">
        <v>56.585166999999899</v>
      </c>
      <c r="O143">
        <v>-6.6383539999999996</v>
      </c>
      <c r="P143">
        <v>45877.521527777775</v>
      </c>
      <c r="Q143" s="6">
        <v>1.8762969980436597E-2</v>
      </c>
      <c r="R143" s="6">
        <f t="shared" si="8"/>
        <v>2.3510821967011687E-2</v>
      </c>
      <c r="S143" s="6">
        <f t="shared" si="6"/>
        <v>367.42142807496759</v>
      </c>
      <c r="T143">
        <v>20</v>
      </c>
      <c r="U143">
        <v>0</v>
      </c>
      <c r="V143">
        <v>333</v>
      </c>
      <c r="W143">
        <v>20</v>
      </c>
      <c r="X143">
        <v>0</v>
      </c>
      <c r="Y143">
        <v>0</v>
      </c>
      <c r="Z143">
        <v>0</v>
      </c>
      <c r="AA143">
        <v>-84</v>
      </c>
      <c r="AB143">
        <v>-97</v>
      </c>
      <c r="AC143">
        <v>1042</v>
      </c>
      <c r="AD143">
        <v>56.585172499999899</v>
      </c>
      <c r="AE143">
        <v>-6.6383774999999998</v>
      </c>
    </row>
    <row r="144" spans="1:31" x14ac:dyDescent="0.35">
      <c r="A144">
        <v>373489</v>
      </c>
      <c r="B144" s="2">
        <v>45876.95208333333</v>
      </c>
      <c r="C144" s="3">
        <v>45876</v>
      </c>
      <c r="D144" s="4">
        <v>0.95246527777777779</v>
      </c>
      <c r="E144">
        <v>0.95246527777777779</v>
      </c>
      <c r="F144" t="s">
        <v>31</v>
      </c>
      <c r="G144">
        <v>8</v>
      </c>
      <c r="H144">
        <v>4129</v>
      </c>
      <c r="I144">
        <v>97</v>
      </c>
      <c r="J144">
        <v>0</v>
      </c>
      <c r="K144">
        <v>1</v>
      </c>
      <c r="L144">
        <v>0.95208333332993789</v>
      </c>
      <c r="M144">
        <f t="shared" si="7"/>
        <v>0.67430555555620231</v>
      </c>
      <c r="N144" s="5">
        <v>56.585239000000001</v>
      </c>
      <c r="O144">
        <v>-6.6387150000000004</v>
      </c>
      <c r="P144">
        <v>45876.95208333333</v>
      </c>
      <c r="Q144" s="6">
        <v>1.863604015106491E-2</v>
      </c>
      <c r="R144" s="6">
        <f t="shared" si="8"/>
        <v>4.9538564678755018E-2</v>
      </c>
      <c r="S144" s="6">
        <f t="shared" si="6"/>
        <v>367.47096663964635</v>
      </c>
      <c r="T144">
        <v>16</v>
      </c>
      <c r="U144">
        <v>0</v>
      </c>
      <c r="V144">
        <v>339</v>
      </c>
      <c r="W144">
        <v>18</v>
      </c>
      <c r="X144">
        <v>0</v>
      </c>
      <c r="Y144">
        <v>0</v>
      </c>
      <c r="Z144">
        <v>0</v>
      </c>
      <c r="AA144">
        <v>-295</v>
      </c>
      <c r="AB144">
        <v>-321</v>
      </c>
      <c r="AC144">
        <v>984</v>
      </c>
      <c r="AD144">
        <v>56.585252499999953</v>
      </c>
      <c r="AE144">
        <v>-6.6387215000000008</v>
      </c>
    </row>
    <row r="145" spans="1:31" x14ac:dyDescent="0.35">
      <c r="A145">
        <v>373489</v>
      </c>
      <c r="B145" s="2">
        <v>45878.396527777775</v>
      </c>
      <c r="C145" s="3">
        <v>45878</v>
      </c>
      <c r="D145" s="4">
        <v>0.39675925925925926</v>
      </c>
      <c r="E145">
        <v>0.39675925925925926</v>
      </c>
      <c r="F145" t="s">
        <v>31</v>
      </c>
      <c r="G145">
        <v>8</v>
      </c>
      <c r="H145">
        <v>3973</v>
      </c>
      <c r="I145">
        <v>71</v>
      </c>
      <c r="J145">
        <v>0</v>
      </c>
      <c r="K145">
        <v>1.3</v>
      </c>
      <c r="L145">
        <v>0.39652777777519077</v>
      </c>
      <c r="M145">
        <f t="shared" si="7"/>
        <v>0.77847222222044365</v>
      </c>
      <c r="N145" s="5">
        <v>56.584941999999899</v>
      </c>
      <c r="O145">
        <v>-6.6393180000000003</v>
      </c>
      <c r="P145">
        <v>45878.396527777775</v>
      </c>
      <c r="Q145" s="6">
        <v>1.7894356990178318E-2</v>
      </c>
      <c r="R145" s="6">
        <f t="shared" si="8"/>
        <v>5.034435225236368E-2</v>
      </c>
      <c r="S145" s="6">
        <f t="shared" si="6"/>
        <v>367.5213109918987</v>
      </c>
      <c r="T145">
        <v>11</v>
      </c>
      <c r="U145">
        <v>1</v>
      </c>
      <c r="V145">
        <v>46</v>
      </c>
      <c r="W145">
        <v>22</v>
      </c>
      <c r="X145">
        <v>0</v>
      </c>
      <c r="Y145">
        <v>0</v>
      </c>
      <c r="Z145">
        <v>0</v>
      </c>
      <c r="AA145">
        <v>24</v>
      </c>
      <c r="AB145">
        <v>49</v>
      </c>
      <c r="AC145">
        <v>1046</v>
      </c>
      <c r="AD145">
        <v>56.584930499999899</v>
      </c>
      <c r="AE145">
        <v>-6.6392740000000003</v>
      </c>
    </row>
    <row r="146" spans="1:31" x14ac:dyDescent="0.35">
      <c r="A146">
        <v>373489</v>
      </c>
      <c r="B146" s="2">
        <v>45877.160416666666</v>
      </c>
      <c r="C146" s="3">
        <v>45877</v>
      </c>
      <c r="D146" s="4">
        <v>0.16107638888888889</v>
      </c>
      <c r="E146">
        <v>0.16107638888888889</v>
      </c>
      <c r="F146" t="s">
        <v>31</v>
      </c>
      <c r="G146">
        <v>6</v>
      </c>
      <c r="H146">
        <v>4095</v>
      </c>
      <c r="I146">
        <v>91</v>
      </c>
      <c r="J146">
        <v>0</v>
      </c>
      <c r="K146">
        <v>1.6</v>
      </c>
      <c r="L146">
        <v>0.16041666666569654</v>
      </c>
      <c r="M146">
        <f t="shared" si="7"/>
        <v>0.93472222222044365</v>
      </c>
      <c r="N146" s="5">
        <v>56.585273999999899</v>
      </c>
      <c r="O146">
        <v>-6.6387590000000003</v>
      </c>
      <c r="P146">
        <v>45877.160416666666</v>
      </c>
      <c r="Q146" s="6">
        <v>1.7517837975492632E-2</v>
      </c>
      <c r="R146" s="6">
        <f t="shared" si="8"/>
        <v>5.0997154162264413E-2</v>
      </c>
      <c r="S146" s="6">
        <f t="shared" si="6"/>
        <v>367.57230814606095</v>
      </c>
      <c r="T146">
        <v>11</v>
      </c>
      <c r="U146">
        <v>0</v>
      </c>
      <c r="V146">
        <v>0</v>
      </c>
      <c r="W146">
        <v>16</v>
      </c>
      <c r="X146">
        <v>0</v>
      </c>
      <c r="Y146">
        <v>0</v>
      </c>
      <c r="Z146">
        <v>0</v>
      </c>
      <c r="AA146">
        <v>-157</v>
      </c>
      <c r="AB146">
        <v>-390</v>
      </c>
      <c r="AC146">
        <v>958</v>
      </c>
      <c r="AD146">
        <v>56.585262499999949</v>
      </c>
      <c r="AE146">
        <v>-6.6387704999999997</v>
      </c>
    </row>
    <row r="147" spans="1:31" x14ac:dyDescent="0.35">
      <c r="A147">
        <v>373489</v>
      </c>
      <c r="B147" s="2">
        <v>45878.709027777775</v>
      </c>
      <c r="C147" s="3">
        <v>45878</v>
      </c>
      <c r="D147" s="4">
        <v>0.70923611111111107</v>
      </c>
      <c r="E147">
        <v>0.70923611111111107</v>
      </c>
      <c r="F147" t="s">
        <v>31</v>
      </c>
      <c r="G147">
        <v>6</v>
      </c>
      <c r="H147">
        <v>3981</v>
      </c>
      <c r="I147">
        <v>72</v>
      </c>
      <c r="J147">
        <v>0</v>
      </c>
      <c r="K147">
        <v>1.6</v>
      </c>
      <c r="L147">
        <v>0.70902777777519077</v>
      </c>
      <c r="M147">
        <f t="shared" si="7"/>
        <v>0.195138888884685</v>
      </c>
      <c r="N147" s="5">
        <v>56.584910999999899</v>
      </c>
      <c r="O147">
        <v>-6.6392680000000004</v>
      </c>
      <c r="P147">
        <v>45878.709027777775</v>
      </c>
      <c r="Q147" s="6">
        <v>1.7509390332908336E-2</v>
      </c>
      <c r="R147" s="6">
        <f t="shared" si="8"/>
        <v>6.2719885400286987E-2</v>
      </c>
      <c r="S147" s="6">
        <f t="shared" si="6"/>
        <v>367.63502803146122</v>
      </c>
      <c r="T147">
        <v>2</v>
      </c>
      <c r="U147">
        <v>0</v>
      </c>
      <c r="V147">
        <v>212</v>
      </c>
      <c r="W147">
        <v>19</v>
      </c>
      <c r="X147">
        <v>0</v>
      </c>
      <c r="Y147">
        <v>0</v>
      </c>
      <c r="Z147">
        <v>0</v>
      </c>
      <c r="AA147">
        <v>-152</v>
      </c>
      <c r="AB147">
        <v>64</v>
      </c>
      <c r="AC147">
        <v>1029</v>
      </c>
      <c r="AD147">
        <v>56.584935999999949</v>
      </c>
      <c r="AE147">
        <v>-6.6392535000000006</v>
      </c>
    </row>
    <row r="148" spans="1:31" x14ac:dyDescent="0.35">
      <c r="A148">
        <v>373489</v>
      </c>
      <c r="B148" s="2">
        <v>45877.681250000001</v>
      </c>
      <c r="C148" s="3">
        <v>45877</v>
      </c>
      <c r="D148" s="4">
        <v>0.68142361111111116</v>
      </c>
      <c r="E148">
        <v>0.68142361111111116</v>
      </c>
      <c r="F148" t="s">
        <v>31</v>
      </c>
      <c r="G148">
        <v>7</v>
      </c>
      <c r="H148">
        <v>4012</v>
      </c>
      <c r="I148">
        <v>77</v>
      </c>
      <c r="J148">
        <v>0</v>
      </c>
      <c r="K148">
        <v>1.5</v>
      </c>
      <c r="L148">
        <v>0.68125000000145519</v>
      </c>
      <c r="M148">
        <f t="shared" si="7"/>
        <v>0.25416666666569654</v>
      </c>
      <c r="N148" s="5">
        <v>56.585075000000003</v>
      </c>
      <c r="O148">
        <v>-6.6382880000000002</v>
      </c>
      <c r="P148">
        <v>45877.681250000001</v>
      </c>
      <c r="Q148" s="6">
        <v>1.73735690175011E-2</v>
      </c>
      <c r="R148" s="6">
        <f t="shared" si="8"/>
        <v>3.716278177167423E-2</v>
      </c>
      <c r="S148" s="6">
        <f t="shared" si="6"/>
        <v>367.67219081323287</v>
      </c>
      <c r="T148">
        <v>10</v>
      </c>
      <c r="U148">
        <v>0</v>
      </c>
      <c r="V148">
        <v>0</v>
      </c>
      <c r="W148">
        <v>23</v>
      </c>
      <c r="X148">
        <v>0</v>
      </c>
      <c r="Y148">
        <v>0</v>
      </c>
      <c r="Z148">
        <v>0</v>
      </c>
      <c r="AA148">
        <v>-73</v>
      </c>
      <c r="AB148">
        <v>93</v>
      </c>
      <c r="AC148">
        <v>1052</v>
      </c>
      <c r="AD148">
        <v>56.585078999999951</v>
      </c>
      <c r="AE148">
        <v>-6.6382655000000002</v>
      </c>
    </row>
    <row r="149" spans="1:31" x14ac:dyDescent="0.35">
      <c r="A149">
        <v>373489</v>
      </c>
      <c r="B149" s="2">
        <v>45876.82708333333</v>
      </c>
      <c r="C149" s="3">
        <v>45876</v>
      </c>
      <c r="D149" s="4">
        <v>0.82726851851851857</v>
      </c>
      <c r="E149">
        <v>0.82726851851851857</v>
      </c>
      <c r="F149" t="s">
        <v>31</v>
      </c>
      <c r="G149">
        <v>6</v>
      </c>
      <c r="H149">
        <v>4151</v>
      </c>
      <c r="I149">
        <v>100</v>
      </c>
      <c r="J149">
        <v>0</v>
      </c>
      <c r="K149">
        <v>1.2</v>
      </c>
      <c r="L149">
        <v>0.82708333332993789</v>
      </c>
      <c r="M149">
        <f t="shared" si="7"/>
        <v>0.76111111111094942</v>
      </c>
      <c r="N149" s="5">
        <v>56.585262</v>
      </c>
      <c r="O149">
        <v>-6.6387910000000003</v>
      </c>
      <c r="P149">
        <v>45876.82708333333</v>
      </c>
      <c r="Q149" s="6">
        <v>1.7289139036665555E-2</v>
      </c>
      <c r="R149" s="6">
        <f t="shared" si="8"/>
        <v>4.29920735140552E-2</v>
      </c>
      <c r="S149" s="6">
        <f t="shared" si="6"/>
        <v>367.7151828867469</v>
      </c>
      <c r="T149">
        <v>16</v>
      </c>
      <c r="U149">
        <v>0</v>
      </c>
      <c r="V149">
        <v>147</v>
      </c>
      <c r="W149">
        <v>18</v>
      </c>
      <c r="X149">
        <v>0</v>
      </c>
      <c r="Y149">
        <v>0</v>
      </c>
      <c r="Z149">
        <v>0</v>
      </c>
      <c r="AA149">
        <v>-292</v>
      </c>
      <c r="AB149">
        <v>-135</v>
      </c>
      <c r="AC149">
        <v>999</v>
      </c>
      <c r="AD149">
        <v>56.585271500000005</v>
      </c>
      <c r="AE149">
        <v>-6.6388069999999999</v>
      </c>
    </row>
    <row r="150" spans="1:31" x14ac:dyDescent="0.35">
      <c r="A150">
        <v>373489</v>
      </c>
      <c r="B150" s="2">
        <v>45878.695138888892</v>
      </c>
      <c r="C150" s="3">
        <v>45878</v>
      </c>
      <c r="D150" s="4">
        <v>0.69533564814814819</v>
      </c>
      <c r="E150">
        <v>0.69533564814814819</v>
      </c>
      <c r="F150" t="s">
        <v>31</v>
      </c>
      <c r="G150">
        <v>6</v>
      </c>
      <c r="H150">
        <v>3981</v>
      </c>
      <c r="I150">
        <v>72</v>
      </c>
      <c r="J150">
        <v>0</v>
      </c>
      <c r="K150">
        <v>1.4</v>
      </c>
      <c r="L150">
        <v>0.69513888889196096</v>
      </c>
      <c r="M150">
        <f t="shared" si="7"/>
        <v>0.86180555555620231</v>
      </c>
      <c r="N150" s="5">
        <v>56.584952999999899</v>
      </c>
      <c r="O150">
        <v>-6.6392129999999998</v>
      </c>
      <c r="P150">
        <v>45878.695138888892</v>
      </c>
      <c r="Q150" s="6">
        <v>1.727374706693395E-2</v>
      </c>
      <c r="R150" s="6">
        <f t="shared" si="8"/>
        <v>4.5073897415728641E-2</v>
      </c>
      <c r="S150" s="6">
        <f t="shared" si="6"/>
        <v>367.76025678416261</v>
      </c>
      <c r="T150">
        <v>19</v>
      </c>
      <c r="U150">
        <v>0</v>
      </c>
      <c r="V150">
        <v>0</v>
      </c>
      <c r="W150">
        <v>22</v>
      </c>
      <c r="X150">
        <v>0</v>
      </c>
      <c r="Y150">
        <v>0</v>
      </c>
      <c r="Z150">
        <v>0</v>
      </c>
      <c r="AA150">
        <v>-371</v>
      </c>
      <c r="AB150">
        <v>4</v>
      </c>
      <c r="AC150">
        <v>984</v>
      </c>
      <c r="AD150">
        <v>56.584931999999895</v>
      </c>
      <c r="AE150">
        <v>-6.6392404999999997</v>
      </c>
    </row>
    <row r="151" spans="1:31" x14ac:dyDescent="0.35">
      <c r="A151">
        <v>373489</v>
      </c>
      <c r="B151" s="2">
        <v>45877.02847222222</v>
      </c>
      <c r="C151" s="3">
        <v>45877</v>
      </c>
      <c r="D151" s="4">
        <v>2.9016203703703704E-2</v>
      </c>
      <c r="E151">
        <v>2.9016203703703704E-2</v>
      </c>
      <c r="F151" t="s">
        <v>31</v>
      </c>
      <c r="G151">
        <v>8</v>
      </c>
      <c r="H151">
        <v>4117</v>
      </c>
      <c r="I151">
        <v>95</v>
      </c>
      <c r="J151">
        <v>0</v>
      </c>
      <c r="K151">
        <v>1.3</v>
      </c>
      <c r="L151">
        <v>2.8472222220443655E-2</v>
      </c>
      <c r="M151">
        <f t="shared" si="7"/>
        <v>0.77499999999417923</v>
      </c>
      <c r="N151" s="5">
        <v>56.585254999999897</v>
      </c>
      <c r="O151">
        <v>-6.6387219999999996</v>
      </c>
      <c r="P151">
        <v>45877.02847222222</v>
      </c>
      <c r="Q151" s="6">
        <v>1.7177710022875228E-2</v>
      </c>
      <c r="R151" s="6">
        <f t="shared" si="8"/>
        <v>3.6314996249732993E-2</v>
      </c>
      <c r="S151" s="6">
        <f t="shared" si="6"/>
        <v>367.79657178041236</v>
      </c>
      <c r="T151">
        <v>15</v>
      </c>
      <c r="U151">
        <v>0</v>
      </c>
      <c r="V151">
        <v>0</v>
      </c>
      <c r="W151">
        <v>17</v>
      </c>
      <c r="X151">
        <v>0</v>
      </c>
      <c r="Y151">
        <v>0</v>
      </c>
      <c r="Z151">
        <v>0</v>
      </c>
      <c r="AA151">
        <v>-229</v>
      </c>
      <c r="AB151">
        <v>-126</v>
      </c>
      <c r="AC151">
        <v>1029</v>
      </c>
      <c r="AD151">
        <v>56.585262499999949</v>
      </c>
      <c r="AE151">
        <v>-6.6387409999999996</v>
      </c>
    </row>
    <row r="152" spans="1:31" x14ac:dyDescent="0.35">
      <c r="A152">
        <v>373489</v>
      </c>
      <c r="B152" s="2">
        <v>45878.521527777775</v>
      </c>
      <c r="C152" s="3">
        <v>45878</v>
      </c>
      <c r="D152" s="4">
        <v>0.52174768518518522</v>
      </c>
      <c r="E152">
        <v>0.52174768518518522</v>
      </c>
      <c r="F152" t="s">
        <v>31</v>
      </c>
      <c r="G152">
        <v>5</v>
      </c>
      <c r="H152">
        <v>3981</v>
      </c>
      <c r="I152">
        <v>72</v>
      </c>
      <c r="J152">
        <v>0</v>
      </c>
      <c r="K152">
        <v>1.5</v>
      </c>
      <c r="L152">
        <v>0.52152777777519077</v>
      </c>
      <c r="M152">
        <f t="shared" si="7"/>
        <v>0.38993055555329192</v>
      </c>
      <c r="N152" s="5">
        <v>56.584972</v>
      </c>
      <c r="O152">
        <v>-6.6390180000000001</v>
      </c>
      <c r="P152">
        <v>45878.521527777775</v>
      </c>
      <c r="Q152" s="6">
        <v>1.6927534563170931E-2</v>
      </c>
      <c r="R152" s="6">
        <f t="shared" si="8"/>
        <v>5.5938589924839216E-2</v>
      </c>
      <c r="S152" s="6">
        <f t="shared" si="6"/>
        <v>367.8525103703372</v>
      </c>
      <c r="T152">
        <v>14</v>
      </c>
      <c r="U152">
        <v>3</v>
      </c>
      <c r="V152">
        <v>302</v>
      </c>
      <c r="W152">
        <v>27</v>
      </c>
      <c r="X152">
        <v>0</v>
      </c>
      <c r="Y152">
        <v>0</v>
      </c>
      <c r="Z152">
        <v>0</v>
      </c>
      <c r="AA152">
        <v>-220</v>
      </c>
      <c r="AB152">
        <v>-128</v>
      </c>
      <c r="AC152">
        <v>1032</v>
      </c>
      <c r="AD152">
        <v>56.584947499999998</v>
      </c>
      <c r="AE152">
        <v>-6.6390370000000001</v>
      </c>
    </row>
    <row r="153" spans="1:31" x14ac:dyDescent="0.35">
      <c r="A153">
        <v>373489</v>
      </c>
      <c r="B153" s="2">
        <v>45878.258333333331</v>
      </c>
      <c r="C153" s="3">
        <v>45878</v>
      </c>
      <c r="D153" s="4">
        <v>0.25836805555555553</v>
      </c>
      <c r="E153">
        <v>0.25836805555555553</v>
      </c>
      <c r="F153" t="s">
        <v>31</v>
      </c>
      <c r="G153">
        <v>6</v>
      </c>
      <c r="H153">
        <v>3964</v>
      </c>
      <c r="I153">
        <v>69</v>
      </c>
      <c r="J153">
        <v>0</v>
      </c>
      <c r="K153">
        <v>1.2</v>
      </c>
      <c r="L153">
        <v>0.25833333333139308</v>
      </c>
      <c r="M153">
        <f t="shared" si="7"/>
        <v>0.46631944444379769</v>
      </c>
      <c r="N153" s="5">
        <v>56.584468999999899</v>
      </c>
      <c r="O153">
        <v>-6.6390029999999998</v>
      </c>
      <c r="P153">
        <v>45878.258333333331</v>
      </c>
      <c r="Q153" s="6">
        <v>1.6708758939972906E-2</v>
      </c>
      <c r="R153" s="6">
        <f t="shared" si="8"/>
        <v>9.3809735000937436E-2</v>
      </c>
      <c r="S153" s="6">
        <f t="shared" si="6"/>
        <v>367.94632010533815</v>
      </c>
      <c r="T153">
        <v>14</v>
      </c>
      <c r="U153">
        <v>0</v>
      </c>
      <c r="V153">
        <v>0</v>
      </c>
      <c r="W153">
        <v>16</v>
      </c>
      <c r="X153">
        <v>0</v>
      </c>
      <c r="Y153">
        <v>0</v>
      </c>
      <c r="Z153">
        <v>0</v>
      </c>
      <c r="AA153">
        <v>123</v>
      </c>
      <c r="AB153">
        <v>363</v>
      </c>
      <c r="AC153">
        <v>966</v>
      </c>
      <c r="AD153">
        <v>56.584461499999946</v>
      </c>
      <c r="AE153">
        <v>-6.6389619999999994</v>
      </c>
    </row>
    <row r="154" spans="1:31" x14ac:dyDescent="0.35">
      <c r="A154">
        <v>373489</v>
      </c>
      <c r="B154" s="2">
        <v>45876.674305555556</v>
      </c>
      <c r="C154" s="3">
        <v>45876</v>
      </c>
      <c r="D154" s="4">
        <v>0.67489583333333336</v>
      </c>
      <c r="E154">
        <v>0.67489583333333336</v>
      </c>
      <c r="F154" t="s">
        <v>31</v>
      </c>
      <c r="G154">
        <v>7</v>
      </c>
      <c r="H154">
        <v>4174</v>
      </c>
      <c r="I154">
        <v>100</v>
      </c>
      <c r="J154">
        <v>0</v>
      </c>
      <c r="K154">
        <v>1</v>
      </c>
      <c r="L154">
        <v>0.67430555555620231</v>
      </c>
      <c r="M154">
        <f t="shared" si="7"/>
        <v>7.3611111110949423E-2</v>
      </c>
      <c r="N154" s="5">
        <v>56.585284999999899</v>
      </c>
      <c r="O154">
        <v>-6.6386139999999996</v>
      </c>
      <c r="P154">
        <v>45876.674305555556</v>
      </c>
      <c r="Q154" s="6">
        <v>1.6432372923473999E-2</v>
      </c>
      <c r="R154" s="6">
        <f t="shared" si="8"/>
        <v>1.2116988416535239E-2</v>
      </c>
      <c r="S154" s="6">
        <f t="shared" si="6"/>
        <v>367.9584370937547</v>
      </c>
      <c r="T154">
        <v>14</v>
      </c>
      <c r="U154">
        <v>0</v>
      </c>
      <c r="V154">
        <v>0</v>
      </c>
      <c r="W154">
        <v>28</v>
      </c>
      <c r="X154">
        <v>0</v>
      </c>
      <c r="Y154">
        <v>0</v>
      </c>
      <c r="Z154">
        <v>0</v>
      </c>
      <c r="AA154">
        <v>-465</v>
      </c>
      <c r="AB154">
        <v>-257</v>
      </c>
      <c r="AC154">
        <v>1020</v>
      </c>
      <c r="AD154">
        <v>56.58527349999995</v>
      </c>
      <c r="AE154">
        <v>-6.6386059999999993</v>
      </c>
    </row>
    <row r="155" spans="1:31" x14ac:dyDescent="0.35">
      <c r="A155">
        <v>373489</v>
      </c>
      <c r="B155" s="2">
        <v>45877.472916666666</v>
      </c>
      <c r="C155" s="3">
        <v>45877</v>
      </c>
      <c r="D155" s="4">
        <v>0.47319444444444442</v>
      </c>
      <c r="E155">
        <v>0.47319444444444442</v>
      </c>
      <c r="F155" t="s">
        <v>31</v>
      </c>
      <c r="G155">
        <v>6</v>
      </c>
      <c r="H155">
        <v>4035</v>
      </c>
      <c r="I155">
        <v>81</v>
      </c>
      <c r="J155">
        <v>0</v>
      </c>
      <c r="K155">
        <v>1.6</v>
      </c>
      <c r="L155">
        <v>0.47291666666569654</v>
      </c>
      <c r="M155">
        <f t="shared" si="7"/>
        <v>0.507638888884685</v>
      </c>
      <c r="N155" s="5">
        <v>56.585251</v>
      </c>
      <c r="O155">
        <v>-6.6384259999999999</v>
      </c>
      <c r="P155">
        <v>45877.472916666666</v>
      </c>
      <c r="Q155" s="6">
        <v>1.6071059899371853E-2</v>
      </c>
      <c r="R155" s="6">
        <f t="shared" si="8"/>
        <v>1.2703560526701532E-2</v>
      </c>
      <c r="S155" s="6">
        <f t="shared" si="6"/>
        <v>367.97114065428138</v>
      </c>
      <c r="T155">
        <v>17</v>
      </c>
      <c r="U155">
        <v>0</v>
      </c>
      <c r="V155">
        <v>181</v>
      </c>
      <c r="W155">
        <v>19</v>
      </c>
      <c r="X155">
        <v>0</v>
      </c>
      <c r="Y155">
        <v>0</v>
      </c>
      <c r="Z155">
        <v>0</v>
      </c>
      <c r="AA155">
        <v>-16</v>
      </c>
      <c r="AB155">
        <v>-492</v>
      </c>
      <c r="AC155">
        <v>867</v>
      </c>
      <c r="AD155">
        <v>56.5852395</v>
      </c>
      <c r="AE155">
        <v>-6.6384325000000004</v>
      </c>
    </row>
    <row r="156" spans="1:31" x14ac:dyDescent="0.35">
      <c r="A156">
        <v>373489</v>
      </c>
      <c r="B156" s="2">
        <v>45877.542361111111</v>
      </c>
      <c r="C156" s="3">
        <v>45877</v>
      </c>
      <c r="D156" s="4">
        <v>0.54295138888888894</v>
      </c>
      <c r="E156">
        <v>0.54295138888888894</v>
      </c>
      <c r="F156" t="s">
        <v>31</v>
      </c>
      <c r="G156">
        <v>5</v>
      </c>
      <c r="H156">
        <v>4024</v>
      </c>
      <c r="I156">
        <v>79</v>
      </c>
      <c r="J156">
        <v>0</v>
      </c>
      <c r="K156">
        <v>1.7</v>
      </c>
      <c r="L156">
        <v>0.54236111111094942</v>
      </c>
      <c r="M156">
        <f t="shared" si="7"/>
        <v>0.11215277777228039</v>
      </c>
      <c r="N156" s="5">
        <v>56.585158999999898</v>
      </c>
      <c r="O156">
        <v>-6.6383029999999996</v>
      </c>
      <c r="P156">
        <v>45877.542361111111</v>
      </c>
      <c r="Q156" s="6">
        <v>1.6006188388583732E-2</v>
      </c>
      <c r="R156" s="6">
        <f t="shared" si="8"/>
        <v>6.4355617178678243E-2</v>
      </c>
      <c r="S156" s="6">
        <f t="shared" si="6"/>
        <v>368.03549627146009</v>
      </c>
      <c r="T156">
        <v>16</v>
      </c>
      <c r="U156">
        <v>0</v>
      </c>
      <c r="V156">
        <v>0</v>
      </c>
      <c r="W156">
        <v>21</v>
      </c>
      <c r="X156">
        <v>0</v>
      </c>
      <c r="Y156">
        <v>0</v>
      </c>
      <c r="Z156">
        <v>0</v>
      </c>
      <c r="AA156">
        <v>20</v>
      </c>
      <c r="AB156">
        <v>459</v>
      </c>
      <c r="AC156">
        <v>939</v>
      </c>
      <c r="AD156">
        <v>56.585151499999952</v>
      </c>
      <c r="AE156">
        <v>-6.6382859999999999</v>
      </c>
    </row>
    <row r="157" spans="1:31" x14ac:dyDescent="0.35">
      <c r="A157">
        <v>373489</v>
      </c>
      <c r="B157" s="2">
        <v>45878.681944444441</v>
      </c>
      <c r="C157" s="3">
        <v>45878</v>
      </c>
      <c r="D157" s="4">
        <v>0.682037037037037</v>
      </c>
      <c r="E157">
        <v>0.682037037037037</v>
      </c>
      <c r="F157" t="s">
        <v>31</v>
      </c>
      <c r="G157">
        <v>7</v>
      </c>
      <c r="H157">
        <v>3987</v>
      </c>
      <c r="I157">
        <v>73</v>
      </c>
      <c r="J157">
        <v>0</v>
      </c>
      <c r="K157">
        <v>1.3</v>
      </c>
      <c r="L157">
        <v>0.68194444444088731</v>
      </c>
      <c r="M157">
        <f t="shared" si="7"/>
        <v>0.20590277777228039</v>
      </c>
      <c r="N157" s="5">
        <v>56.584915000000002</v>
      </c>
      <c r="O157">
        <v>-6.6392559999999996</v>
      </c>
      <c r="P157">
        <v>45878.681944444441</v>
      </c>
      <c r="Q157" s="6">
        <v>1.572216957018821E-2</v>
      </c>
      <c r="R157" s="6">
        <f t="shared" si="8"/>
        <v>6.2063733947862784E-2</v>
      </c>
      <c r="S157" s="6">
        <f t="shared" si="6"/>
        <v>368.09756000540796</v>
      </c>
      <c r="T157">
        <v>7</v>
      </c>
      <c r="U157">
        <v>0</v>
      </c>
      <c r="V157">
        <v>0</v>
      </c>
      <c r="W157">
        <v>23</v>
      </c>
      <c r="X157">
        <v>0</v>
      </c>
      <c r="Y157">
        <v>0</v>
      </c>
      <c r="Z157">
        <v>0</v>
      </c>
      <c r="AA157">
        <v>-48</v>
      </c>
      <c r="AB157">
        <v>-335</v>
      </c>
      <c r="AC157">
        <v>999</v>
      </c>
      <c r="AD157">
        <v>56.584933999999947</v>
      </c>
      <c r="AE157">
        <v>-6.6392344999999997</v>
      </c>
    </row>
    <row r="158" spans="1:31" x14ac:dyDescent="0.35">
      <c r="A158">
        <v>373489</v>
      </c>
      <c r="B158" s="2">
        <v>45877.729861111111</v>
      </c>
      <c r="C158" s="3">
        <v>45877</v>
      </c>
      <c r="D158" s="4">
        <v>0.73003472222222221</v>
      </c>
      <c r="E158">
        <v>0.73003472222222221</v>
      </c>
      <c r="F158" t="s">
        <v>31</v>
      </c>
      <c r="G158">
        <v>6</v>
      </c>
      <c r="H158">
        <v>4007</v>
      </c>
      <c r="I158">
        <v>76</v>
      </c>
      <c r="J158">
        <v>0</v>
      </c>
      <c r="K158">
        <v>1.7</v>
      </c>
      <c r="L158">
        <v>0.72986111111094942</v>
      </c>
      <c r="M158">
        <f t="shared" si="7"/>
        <v>0.53194444444670808</v>
      </c>
      <c r="N158" s="5">
        <v>56.585093999999899</v>
      </c>
      <c r="O158">
        <v>-6.6382960000000004</v>
      </c>
      <c r="P158">
        <v>45877.729861111111</v>
      </c>
      <c r="Q158" s="6">
        <v>1.5502437345806058E-2</v>
      </c>
      <c r="R158" s="6">
        <f t="shared" si="8"/>
        <v>2.4307152810862868E-2</v>
      </c>
      <c r="S158" s="6">
        <f t="shared" ref="S158:S221" si="9">S157+R158</f>
        <v>368.12186715821883</v>
      </c>
      <c r="T158">
        <v>11</v>
      </c>
      <c r="U158">
        <v>0</v>
      </c>
      <c r="V158">
        <v>0</v>
      </c>
      <c r="W158">
        <v>21</v>
      </c>
      <c r="X158">
        <v>0</v>
      </c>
      <c r="Y158">
        <v>0</v>
      </c>
      <c r="Z158">
        <v>0</v>
      </c>
      <c r="AA158">
        <v>384</v>
      </c>
      <c r="AB158">
        <v>-297</v>
      </c>
      <c r="AC158">
        <v>1172</v>
      </c>
      <c r="AD158">
        <v>56.585105499999898</v>
      </c>
      <c r="AE158">
        <v>-6.6382989999999999</v>
      </c>
    </row>
    <row r="159" spans="1:31" x14ac:dyDescent="0.35">
      <c r="A159">
        <v>373489</v>
      </c>
      <c r="B159" s="2">
        <v>45877.334027777775</v>
      </c>
      <c r="C159" s="3">
        <v>45877</v>
      </c>
      <c r="D159" s="4">
        <v>0.33468750000000003</v>
      </c>
      <c r="E159">
        <v>0.33468750000000003</v>
      </c>
      <c r="F159" t="s">
        <v>31</v>
      </c>
      <c r="G159">
        <v>6</v>
      </c>
      <c r="H159">
        <v>4061</v>
      </c>
      <c r="I159">
        <v>85</v>
      </c>
      <c r="J159">
        <v>0</v>
      </c>
      <c r="K159">
        <v>1.9</v>
      </c>
      <c r="L159">
        <v>0.33402777777519077</v>
      </c>
      <c r="M159">
        <f t="shared" si="7"/>
        <v>0.78194444444670808</v>
      </c>
      <c r="N159" s="5">
        <v>56.585307999999898</v>
      </c>
      <c r="O159">
        <v>-6.6383770000000002</v>
      </c>
      <c r="P159">
        <v>45877.334027777775</v>
      </c>
      <c r="Q159" s="6">
        <v>1.5502435757733959E-2</v>
      </c>
      <c r="R159" s="6">
        <f t="shared" si="8"/>
        <v>0.10116618789586701</v>
      </c>
      <c r="S159" s="6">
        <f t="shared" si="9"/>
        <v>368.22303334611468</v>
      </c>
      <c r="T159">
        <v>15</v>
      </c>
      <c r="U159">
        <v>0</v>
      </c>
      <c r="V159">
        <v>0</v>
      </c>
      <c r="W159">
        <v>18</v>
      </c>
      <c r="X159">
        <v>0</v>
      </c>
      <c r="Y159">
        <v>0</v>
      </c>
      <c r="Z159">
        <v>0</v>
      </c>
      <c r="AA159">
        <v>-249</v>
      </c>
      <c r="AB159">
        <v>-300</v>
      </c>
      <c r="AC159">
        <v>1008</v>
      </c>
      <c r="AD159">
        <v>56.585296499999899</v>
      </c>
      <c r="AE159">
        <v>-6.6383740000000007</v>
      </c>
    </row>
    <row r="160" spans="1:31" x14ac:dyDescent="0.35">
      <c r="A160">
        <v>373489</v>
      </c>
      <c r="B160" s="2">
        <v>45878.229861111111</v>
      </c>
      <c r="C160" s="3">
        <v>45878</v>
      </c>
      <c r="D160" s="4">
        <v>0.23024305555555555</v>
      </c>
      <c r="E160">
        <v>0.23024305555555555</v>
      </c>
      <c r="F160" t="s">
        <v>31</v>
      </c>
      <c r="G160">
        <v>8</v>
      </c>
      <c r="H160">
        <v>3964</v>
      </c>
      <c r="I160">
        <v>69</v>
      </c>
      <c r="J160">
        <v>0</v>
      </c>
      <c r="K160">
        <v>2</v>
      </c>
      <c r="L160">
        <v>0.22986111111094942</v>
      </c>
      <c r="M160">
        <f t="shared" si="7"/>
        <v>0.36180555555620231</v>
      </c>
      <c r="N160" s="5">
        <v>56.584468999999899</v>
      </c>
      <c r="O160">
        <v>-6.6390159999999998</v>
      </c>
      <c r="P160">
        <v>45878.229861111111</v>
      </c>
      <c r="Q160" s="6">
        <v>1.5493025436327216E-2</v>
      </c>
      <c r="R160" s="6">
        <f t="shared" si="8"/>
        <v>5.3491603785471714E-2</v>
      </c>
      <c r="S160" s="6">
        <f t="shared" si="9"/>
        <v>368.27652494990014</v>
      </c>
      <c r="T160">
        <v>14</v>
      </c>
      <c r="U160">
        <v>0</v>
      </c>
      <c r="V160">
        <v>0</v>
      </c>
      <c r="W160">
        <v>16</v>
      </c>
      <c r="X160">
        <v>0</v>
      </c>
      <c r="Y160">
        <v>0</v>
      </c>
      <c r="Z160">
        <v>0</v>
      </c>
      <c r="AA160">
        <v>-169</v>
      </c>
      <c r="AB160">
        <v>-447</v>
      </c>
      <c r="AC160">
        <v>933</v>
      </c>
      <c r="AD160">
        <v>56.584447999999895</v>
      </c>
      <c r="AE160">
        <v>-6.638998</v>
      </c>
    </row>
    <row r="161" spans="1:31" x14ac:dyDescent="0.35">
      <c r="A161">
        <v>373489</v>
      </c>
      <c r="B161" s="2">
        <v>45878.493750000001</v>
      </c>
      <c r="C161" s="3">
        <v>45878</v>
      </c>
      <c r="D161" s="4">
        <v>0.49394675925925924</v>
      </c>
      <c r="E161">
        <v>0.49394675925925924</v>
      </c>
      <c r="F161" t="s">
        <v>31</v>
      </c>
      <c r="G161">
        <v>6</v>
      </c>
      <c r="H161">
        <v>3975</v>
      </c>
      <c r="I161">
        <v>71</v>
      </c>
      <c r="J161">
        <v>0</v>
      </c>
      <c r="K161">
        <v>1.5</v>
      </c>
      <c r="L161">
        <v>0.49375000000145519</v>
      </c>
      <c r="M161">
        <f t="shared" si="7"/>
        <v>0.60833333333721384</v>
      </c>
      <c r="N161" s="5">
        <v>56.584949000000002</v>
      </c>
      <c r="O161">
        <v>-6.6389579999999997</v>
      </c>
      <c r="P161">
        <v>45878.493750000001</v>
      </c>
      <c r="Q161" s="6">
        <v>1.54544720123703E-2</v>
      </c>
      <c r="R161" s="6">
        <f t="shared" si="8"/>
        <v>4.0399620762584874E-2</v>
      </c>
      <c r="S161" s="6">
        <f t="shared" si="9"/>
        <v>368.31692457066271</v>
      </c>
      <c r="T161">
        <v>10</v>
      </c>
      <c r="U161">
        <v>0</v>
      </c>
      <c r="V161">
        <v>86</v>
      </c>
      <c r="W161">
        <v>24</v>
      </c>
      <c r="X161">
        <v>0</v>
      </c>
      <c r="Y161">
        <v>0</v>
      </c>
      <c r="Z161">
        <v>0</v>
      </c>
      <c r="AA161">
        <v>-146</v>
      </c>
      <c r="AB161">
        <v>-182</v>
      </c>
      <c r="AC161">
        <v>1024</v>
      </c>
      <c r="AD161">
        <v>56.584971999999951</v>
      </c>
      <c r="AE161">
        <v>-6.6389529999999999</v>
      </c>
    </row>
    <row r="162" spans="1:31" x14ac:dyDescent="0.35">
      <c r="A162">
        <v>373489</v>
      </c>
      <c r="B162" s="2">
        <v>45876.722916666666</v>
      </c>
      <c r="C162" s="3">
        <v>45876</v>
      </c>
      <c r="D162" s="4">
        <v>0.72310185185185183</v>
      </c>
      <c r="E162">
        <v>0.72310185185185183</v>
      </c>
      <c r="F162" t="s">
        <v>31</v>
      </c>
      <c r="G162">
        <v>6</v>
      </c>
      <c r="H162">
        <v>4169</v>
      </c>
      <c r="I162">
        <v>100</v>
      </c>
      <c r="J162">
        <v>0</v>
      </c>
      <c r="K162">
        <v>1.5</v>
      </c>
      <c r="L162">
        <v>0.72291666666569654</v>
      </c>
      <c r="M162">
        <f t="shared" si="7"/>
        <v>0.82708333333721384</v>
      </c>
      <c r="N162" s="5">
        <v>56.585262</v>
      </c>
      <c r="O162">
        <v>-6.6386229999999999</v>
      </c>
      <c r="P162">
        <v>45876.722916666666</v>
      </c>
      <c r="Q162" s="6">
        <v>1.5454470437262783E-2</v>
      </c>
      <c r="R162" s="6">
        <f t="shared" si="8"/>
        <v>7.2256759622630444E-3</v>
      </c>
      <c r="S162" s="6">
        <f t="shared" si="9"/>
        <v>368.32415024662498</v>
      </c>
      <c r="T162">
        <v>20</v>
      </c>
      <c r="U162">
        <v>0</v>
      </c>
      <c r="V162">
        <v>0</v>
      </c>
      <c r="W162">
        <v>19</v>
      </c>
      <c r="X162">
        <v>0</v>
      </c>
      <c r="Y162">
        <v>0</v>
      </c>
      <c r="Z162">
        <v>0</v>
      </c>
      <c r="AA162">
        <v>-212</v>
      </c>
      <c r="AB162">
        <v>-91</v>
      </c>
      <c r="AC162">
        <v>1047</v>
      </c>
      <c r="AD162">
        <v>56.585250500000001</v>
      </c>
      <c r="AE162">
        <v>-6.6386205</v>
      </c>
    </row>
    <row r="163" spans="1:31" x14ac:dyDescent="0.35">
      <c r="A163">
        <v>373489</v>
      </c>
      <c r="B163" s="2">
        <v>45876.931250000001</v>
      </c>
      <c r="C163" s="3">
        <v>45876</v>
      </c>
      <c r="D163" s="4">
        <v>0.93142361111111116</v>
      </c>
      <c r="E163">
        <v>0.93142361111111116</v>
      </c>
      <c r="F163" t="s">
        <v>31</v>
      </c>
      <c r="G163">
        <v>6</v>
      </c>
      <c r="H163">
        <v>4129</v>
      </c>
      <c r="I163">
        <v>97</v>
      </c>
      <c r="J163">
        <v>0</v>
      </c>
      <c r="K163">
        <v>1.4</v>
      </c>
      <c r="L163">
        <v>0.93125000000145519</v>
      </c>
      <c r="M163">
        <f t="shared" si="7"/>
        <v>0.96250000000145519</v>
      </c>
      <c r="N163" s="5">
        <v>56.585262</v>
      </c>
      <c r="O163">
        <v>-6.6387409999999996</v>
      </c>
      <c r="P163">
        <v>45876.931250000001</v>
      </c>
      <c r="Q163" s="6">
        <v>1.5420493796806675E-2</v>
      </c>
      <c r="R163" s="6">
        <f t="shared" si="8"/>
        <v>2.6201834763991795E-3</v>
      </c>
      <c r="S163" s="6">
        <f t="shared" si="9"/>
        <v>368.32677043010136</v>
      </c>
      <c r="T163">
        <v>17</v>
      </c>
      <c r="U163">
        <v>0</v>
      </c>
      <c r="V163">
        <v>0</v>
      </c>
      <c r="W163">
        <v>18</v>
      </c>
      <c r="X163">
        <v>0</v>
      </c>
      <c r="Y163">
        <v>0</v>
      </c>
      <c r="Z163">
        <v>0</v>
      </c>
      <c r="AA163">
        <v>-155</v>
      </c>
      <c r="AB163">
        <v>-13</v>
      </c>
      <c r="AC163">
        <v>1052</v>
      </c>
      <c r="AD163">
        <v>56.585258499999952</v>
      </c>
      <c r="AE163">
        <v>-6.6387609999999997</v>
      </c>
    </row>
    <row r="164" spans="1:31" x14ac:dyDescent="0.35">
      <c r="A164">
        <v>373489</v>
      </c>
      <c r="B164" s="2">
        <v>45876.993750000001</v>
      </c>
      <c r="C164" s="3">
        <v>45876</v>
      </c>
      <c r="D164" s="4">
        <v>0.99395833333333339</v>
      </c>
      <c r="E164">
        <v>0.99395833333333339</v>
      </c>
      <c r="F164" t="s">
        <v>31</v>
      </c>
      <c r="G164">
        <v>7</v>
      </c>
      <c r="H164">
        <v>4120</v>
      </c>
      <c r="I164">
        <v>95</v>
      </c>
      <c r="J164">
        <v>0</v>
      </c>
      <c r="K164">
        <v>1.1000000000000001</v>
      </c>
      <c r="L164">
        <v>0.99375000000145519</v>
      </c>
      <c r="M164">
        <f t="shared" si="7"/>
        <v>8.0555555556202307E-2</v>
      </c>
      <c r="N164" s="5">
        <v>56.585247000000003</v>
      </c>
      <c r="O164">
        <v>-6.6387080000000003</v>
      </c>
      <c r="P164">
        <v>45876.993750000001</v>
      </c>
      <c r="Q164" s="6">
        <v>1.516161369681372E-2</v>
      </c>
      <c r="R164" s="6">
        <f t="shared" si="8"/>
        <v>4.553134230709131E-3</v>
      </c>
      <c r="S164" s="6">
        <f t="shared" si="9"/>
        <v>368.33132356433208</v>
      </c>
      <c r="T164">
        <v>15</v>
      </c>
      <c r="U164">
        <v>0</v>
      </c>
      <c r="V164">
        <v>0</v>
      </c>
      <c r="W164">
        <v>16</v>
      </c>
      <c r="X164">
        <v>0</v>
      </c>
      <c r="Y164">
        <v>0</v>
      </c>
      <c r="Z164">
        <v>0</v>
      </c>
      <c r="AA164">
        <v>-89</v>
      </c>
      <c r="AB164">
        <v>-324</v>
      </c>
      <c r="AC164">
        <v>987</v>
      </c>
      <c r="AD164">
        <v>56.585254500000005</v>
      </c>
      <c r="AE164">
        <v>-6.6387235000000002</v>
      </c>
    </row>
    <row r="165" spans="1:31" x14ac:dyDescent="0.35">
      <c r="A165">
        <v>373489</v>
      </c>
      <c r="B165" s="2">
        <v>45877.167361111111</v>
      </c>
      <c r="C165" s="3">
        <v>45877</v>
      </c>
      <c r="D165" s="4">
        <v>0.1675925925925926</v>
      </c>
      <c r="E165">
        <v>0.1675925925925926</v>
      </c>
      <c r="F165" t="s">
        <v>31</v>
      </c>
      <c r="G165">
        <v>6</v>
      </c>
      <c r="H165">
        <v>4089</v>
      </c>
      <c r="I165">
        <v>90</v>
      </c>
      <c r="J165">
        <v>0</v>
      </c>
      <c r="K165">
        <v>1.5</v>
      </c>
      <c r="L165">
        <v>0.16736111111094942</v>
      </c>
      <c r="M165">
        <f t="shared" si="7"/>
        <v>0.83750000000145519</v>
      </c>
      <c r="N165" s="5">
        <v>56.585251</v>
      </c>
      <c r="O165">
        <v>-6.638782</v>
      </c>
      <c r="P165">
        <v>45877.167361111111</v>
      </c>
      <c r="Q165" s="6">
        <v>1.5070753491039141E-2</v>
      </c>
      <c r="R165" s="6">
        <f t="shared" si="8"/>
        <v>3.0226382113353531E-2</v>
      </c>
      <c r="S165" s="6">
        <f t="shared" si="9"/>
        <v>368.36154994644545</v>
      </c>
      <c r="T165">
        <v>18</v>
      </c>
      <c r="U165">
        <v>0</v>
      </c>
      <c r="V165">
        <v>0</v>
      </c>
      <c r="W165">
        <v>15</v>
      </c>
      <c r="X165">
        <v>0</v>
      </c>
      <c r="Y165">
        <v>0</v>
      </c>
      <c r="Z165">
        <v>0</v>
      </c>
      <c r="AA165">
        <v>-198</v>
      </c>
      <c r="AB165">
        <v>-369</v>
      </c>
      <c r="AC165">
        <v>963</v>
      </c>
      <c r="AD165">
        <v>56.585254500000005</v>
      </c>
      <c r="AE165">
        <v>-6.6387625000000003</v>
      </c>
    </row>
    <row r="166" spans="1:31" x14ac:dyDescent="0.35">
      <c r="A166">
        <v>373489</v>
      </c>
      <c r="B166" s="2">
        <v>45878.507638888892</v>
      </c>
      <c r="C166" s="3">
        <v>45878</v>
      </c>
      <c r="D166" s="4">
        <v>0.50782407407407404</v>
      </c>
      <c r="E166">
        <v>0.50782407407407404</v>
      </c>
      <c r="F166" t="s">
        <v>31</v>
      </c>
      <c r="G166">
        <v>5</v>
      </c>
      <c r="H166">
        <v>3981</v>
      </c>
      <c r="I166">
        <v>72</v>
      </c>
      <c r="J166">
        <v>0</v>
      </c>
      <c r="K166">
        <v>1.8</v>
      </c>
      <c r="L166">
        <v>0.50763888889196096</v>
      </c>
      <c r="M166">
        <f t="shared" si="7"/>
        <v>0.78541666666569654</v>
      </c>
      <c r="N166" s="5">
        <v>56.5849949999999</v>
      </c>
      <c r="O166">
        <v>-6.6389480000000001</v>
      </c>
      <c r="P166">
        <v>45878.507638888892</v>
      </c>
      <c r="Q166" s="6">
        <v>1.497428907964825E-2</v>
      </c>
      <c r="R166" s="6">
        <f t="shared" si="8"/>
        <v>3.1996146885004129E-2</v>
      </c>
      <c r="S166" s="6">
        <f t="shared" si="9"/>
        <v>368.39354609333043</v>
      </c>
      <c r="T166">
        <v>25</v>
      </c>
      <c r="U166">
        <v>0</v>
      </c>
      <c r="V166">
        <v>0</v>
      </c>
      <c r="W166">
        <v>28</v>
      </c>
      <c r="X166">
        <v>0</v>
      </c>
      <c r="Y166">
        <v>0</v>
      </c>
      <c r="Z166">
        <v>0</v>
      </c>
      <c r="AA166">
        <v>-361</v>
      </c>
      <c r="AB166">
        <v>-219</v>
      </c>
      <c r="AC166">
        <v>966</v>
      </c>
      <c r="AD166">
        <v>56.58498349999995</v>
      </c>
      <c r="AE166">
        <v>-6.6389829999999996</v>
      </c>
    </row>
    <row r="167" spans="1:31" x14ac:dyDescent="0.35">
      <c r="A167">
        <v>373489</v>
      </c>
      <c r="B167" s="2">
        <v>45877.063194444447</v>
      </c>
      <c r="C167" s="3">
        <v>45877</v>
      </c>
      <c r="D167" s="4">
        <v>6.3368055555555552E-2</v>
      </c>
      <c r="E167">
        <v>6.3368055555555552E-2</v>
      </c>
      <c r="F167" t="s">
        <v>31</v>
      </c>
      <c r="G167">
        <v>8</v>
      </c>
      <c r="H167">
        <v>4115</v>
      </c>
      <c r="I167">
        <v>94</v>
      </c>
      <c r="J167">
        <v>0</v>
      </c>
      <c r="K167">
        <v>1</v>
      </c>
      <c r="L167">
        <v>6.3194444446708076E-2</v>
      </c>
      <c r="M167">
        <f t="shared" si="7"/>
        <v>0.91041666666569654</v>
      </c>
      <c r="N167" s="5">
        <v>56.585258000000003</v>
      </c>
      <c r="O167">
        <v>-6.6387359999999997</v>
      </c>
      <c r="P167">
        <v>45877.063194444447</v>
      </c>
      <c r="Q167" s="6">
        <v>1.4751121260206697E-2</v>
      </c>
      <c r="R167" s="6">
        <f t="shared" si="8"/>
        <v>1.5671622446139322E-3</v>
      </c>
      <c r="S167" s="6">
        <f t="shared" si="9"/>
        <v>368.39511325557504</v>
      </c>
      <c r="T167">
        <v>20</v>
      </c>
      <c r="U167">
        <v>0</v>
      </c>
      <c r="V167">
        <v>311</v>
      </c>
      <c r="W167">
        <v>17</v>
      </c>
      <c r="X167">
        <v>0</v>
      </c>
      <c r="Y167">
        <v>0</v>
      </c>
      <c r="Z167">
        <v>0</v>
      </c>
      <c r="AA167">
        <v>-175</v>
      </c>
      <c r="AB167">
        <v>-153</v>
      </c>
      <c r="AC167">
        <v>1022</v>
      </c>
      <c r="AD167">
        <v>56.585247000000003</v>
      </c>
      <c r="AE167">
        <v>-6.6387339999999995</v>
      </c>
    </row>
    <row r="168" spans="1:31" x14ac:dyDescent="0.35">
      <c r="A168">
        <v>373489</v>
      </c>
      <c r="B168" s="2">
        <v>45876.757638888892</v>
      </c>
      <c r="C168" s="3">
        <v>45876</v>
      </c>
      <c r="D168" s="4">
        <v>0.75822916666666662</v>
      </c>
      <c r="E168">
        <v>0.75822916666666662</v>
      </c>
      <c r="F168" t="s">
        <v>31</v>
      </c>
      <c r="G168">
        <v>8</v>
      </c>
      <c r="H168">
        <v>4163</v>
      </c>
      <c r="I168">
        <v>100</v>
      </c>
      <c r="J168">
        <v>0</v>
      </c>
      <c r="K168">
        <v>1.1000000000000001</v>
      </c>
      <c r="L168">
        <v>0.75763888889196096</v>
      </c>
      <c r="M168">
        <f t="shared" si="7"/>
        <v>0.23680555555620231</v>
      </c>
      <c r="N168" s="5">
        <v>56.585247000000003</v>
      </c>
      <c r="O168">
        <v>-6.6387200000000002</v>
      </c>
      <c r="P168">
        <v>45876.757638888892</v>
      </c>
      <c r="Q168" s="6">
        <v>1.4131460034991526E-2</v>
      </c>
      <c r="R168" s="6">
        <f t="shared" si="8"/>
        <v>3.3189574732061911E-2</v>
      </c>
      <c r="S168" s="6">
        <f t="shared" si="9"/>
        <v>368.42830283030708</v>
      </c>
      <c r="T168">
        <v>13</v>
      </c>
      <c r="U168">
        <v>0</v>
      </c>
      <c r="V168">
        <v>0</v>
      </c>
      <c r="W168">
        <v>20</v>
      </c>
      <c r="X168">
        <v>0</v>
      </c>
      <c r="Y168">
        <v>0</v>
      </c>
      <c r="Z168">
        <v>0</v>
      </c>
      <c r="AA168">
        <v>-183</v>
      </c>
      <c r="AB168">
        <v>-182</v>
      </c>
      <c r="AC168">
        <v>1018</v>
      </c>
      <c r="AD168">
        <v>56.58525649999995</v>
      </c>
      <c r="AE168">
        <v>-6.6387285</v>
      </c>
    </row>
    <row r="169" spans="1:31" x14ac:dyDescent="0.35">
      <c r="A169">
        <v>373489</v>
      </c>
      <c r="B169" s="2">
        <v>45877.71597222222</v>
      </c>
      <c r="C169" s="3">
        <v>45877</v>
      </c>
      <c r="D169" s="4">
        <v>0.71615740740740741</v>
      </c>
      <c r="E169">
        <v>0.71615740740740741</v>
      </c>
      <c r="F169" t="s">
        <v>31</v>
      </c>
      <c r="G169">
        <v>5</v>
      </c>
      <c r="H169">
        <v>4009</v>
      </c>
      <c r="I169">
        <v>77</v>
      </c>
      <c r="J169">
        <v>0</v>
      </c>
      <c r="K169">
        <v>1.9</v>
      </c>
      <c r="L169">
        <v>0.71597222222044365</v>
      </c>
      <c r="M169">
        <f t="shared" si="7"/>
        <v>0.97986111111094942</v>
      </c>
      <c r="N169" s="5">
        <v>56.585079</v>
      </c>
      <c r="O169">
        <v>-6.6382719999999997</v>
      </c>
      <c r="P169">
        <v>45877.71597222222</v>
      </c>
      <c r="Q169" s="6">
        <v>1.3972969014059988E-2</v>
      </c>
      <c r="R169" s="6">
        <f t="shared" si="8"/>
        <v>8.4473327965806866E-2</v>
      </c>
      <c r="S169" s="6">
        <f t="shared" si="9"/>
        <v>368.51277615827286</v>
      </c>
      <c r="T169">
        <v>16</v>
      </c>
      <c r="U169">
        <v>0</v>
      </c>
      <c r="V169">
        <v>0</v>
      </c>
      <c r="W169">
        <v>22</v>
      </c>
      <c r="X169">
        <v>0</v>
      </c>
      <c r="Y169">
        <v>0</v>
      </c>
      <c r="Z169">
        <v>0</v>
      </c>
      <c r="AA169">
        <v>-174</v>
      </c>
      <c r="AB169">
        <v>-44</v>
      </c>
      <c r="AC169">
        <v>1052</v>
      </c>
      <c r="AD169">
        <v>56.585088499999998</v>
      </c>
      <c r="AE169">
        <v>-6.63828</v>
      </c>
    </row>
    <row r="170" spans="1:31" x14ac:dyDescent="0.35">
      <c r="A170">
        <v>373489</v>
      </c>
      <c r="B170" s="2">
        <v>45878.243750000001</v>
      </c>
      <c r="C170" s="3">
        <v>45878</v>
      </c>
      <c r="D170" s="4">
        <v>0.24394675925925927</v>
      </c>
      <c r="E170">
        <v>0.24394675925925927</v>
      </c>
      <c r="F170" t="s">
        <v>31</v>
      </c>
      <c r="G170">
        <v>8</v>
      </c>
      <c r="H170">
        <v>3964</v>
      </c>
      <c r="I170">
        <v>69</v>
      </c>
      <c r="J170">
        <v>0</v>
      </c>
      <c r="K170">
        <v>1.8</v>
      </c>
      <c r="L170">
        <v>0.24375000000145519</v>
      </c>
      <c r="M170">
        <f t="shared" si="7"/>
        <v>0.80972222222771961</v>
      </c>
      <c r="N170" s="5">
        <v>56.584426999999899</v>
      </c>
      <c r="O170">
        <v>-6.6389800000000001</v>
      </c>
      <c r="P170">
        <v>45878.243750000001</v>
      </c>
      <c r="Q170" s="6">
        <v>1.3936973663543597E-2</v>
      </c>
      <c r="R170" s="6">
        <f t="shared" si="8"/>
        <v>9.6826732554076395E-2</v>
      </c>
      <c r="S170" s="6">
        <f t="shared" si="9"/>
        <v>368.60960289082692</v>
      </c>
      <c r="T170">
        <v>9</v>
      </c>
      <c r="U170">
        <v>0</v>
      </c>
      <c r="V170">
        <v>0</v>
      </c>
      <c r="W170">
        <v>16</v>
      </c>
      <c r="X170">
        <v>0</v>
      </c>
      <c r="Y170">
        <v>0</v>
      </c>
      <c r="Z170">
        <v>0</v>
      </c>
      <c r="AA170">
        <v>-138</v>
      </c>
      <c r="AB170">
        <v>516</v>
      </c>
      <c r="AC170">
        <v>912</v>
      </c>
      <c r="AD170">
        <v>56.584447999999895</v>
      </c>
      <c r="AE170">
        <v>-6.6389914999999995</v>
      </c>
    </row>
    <row r="171" spans="1:31" x14ac:dyDescent="0.35">
      <c r="A171">
        <v>373489</v>
      </c>
      <c r="B171" s="2">
        <v>45877.375694444447</v>
      </c>
      <c r="C171" s="3">
        <v>45877</v>
      </c>
      <c r="D171" s="4">
        <v>0.37587962962962962</v>
      </c>
      <c r="E171">
        <v>0.37587962962962962</v>
      </c>
      <c r="F171" t="s">
        <v>31</v>
      </c>
      <c r="G171">
        <v>6</v>
      </c>
      <c r="H171">
        <v>4058</v>
      </c>
      <c r="I171">
        <v>85</v>
      </c>
      <c r="J171">
        <v>0</v>
      </c>
      <c r="K171">
        <v>1.1000000000000001</v>
      </c>
      <c r="L171">
        <v>0.37569444444670808</v>
      </c>
      <c r="M171">
        <f t="shared" si="7"/>
        <v>0.413888888884685</v>
      </c>
      <c r="N171" s="5">
        <v>56.585242999999899</v>
      </c>
      <c r="O171">
        <v>-6.6384280000000002</v>
      </c>
      <c r="P171">
        <v>45877.375694444447</v>
      </c>
      <c r="Q171" s="6">
        <v>1.392193358125895E-2</v>
      </c>
      <c r="R171" s="6">
        <f t="shared" si="8"/>
        <v>2.4493829137067167E-4</v>
      </c>
      <c r="S171" s="6">
        <f t="shared" si="9"/>
        <v>368.60984782911828</v>
      </c>
      <c r="T171">
        <v>17</v>
      </c>
      <c r="U171">
        <v>0</v>
      </c>
      <c r="V171">
        <v>0</v>
      </c>
      <c r="W171">
        <v>17</v>
      </c>
      <c r="X171">
        <v>0</v>
      </c>
      <c r="Y171">
        <v>0</v>
      </c>
      <c r="Z171">
        <v>0</v>
      </c>
      <c r="AA171">
        <v>-117</v>
      </c>
      <c r="AB171">
        <v>278</v>
      </c>
      <c r="AC171">
        <v>1020</v>
      </c>
      <c r="AD171">
        <v>56.585248999999898</v>
      </c>
      <c r="AE171">
        <v>-6.6384435000000002</v>
      </c>
    </row>
    <row r="172" spans="1:31" x14ac:dyDescent="0.35">
      <c r="A172">
        <v>373489</v>
      </c>
      <c r="B172" s="2">
        <v>45877.45208333333</v>
      </c>
      <c r="C172" s="3">
        <v>45877</v>
      </c>
      <c r="D172" s="4">
        <v>0.45230324074074074</v>
      </c>
      <c r="E172">
        <v>0.45230324074074074</v>
      </c>
      <c r="F172" t="s">
        <v>31</v>
      </c>
      <c r="G172">
        <v>6</v>
      </c>
      <c r="H172">
        <v>4038</v>
      </c>
      <c r="I172">
        <v>81</v>
      </c>
      <c r="J172">
        <v>0</v>
      </c>
      <c r="K172">
        <v>1.7</v>
      </c>
      <c r="L172">
        <v>0.45208333332993789</v>
      </c>
      <c r="M172">
        <f t="shared" si="7"/>
        <v>0.163888888884685</v>
      </c>
      <c r="N172" s="5">
        <v>56.585242999999899</v>
      </c>
      <c r="O172">
        <v>-6.6384239999999997</v>
      </c>
      <c r="P172">
        <v>45877.45208333333</v>
      </c>
      <c r="Q172" s="6">
        <v>1.3834844774393291E-2</v>
      </c>
      <c r="R172" s="6">
        <f t="shared" si="8"/>
        <v>6.5527276611370699E-2</v>
      </c>
      <c r="S172" s="6">
        <f t="shared" si="9"/>
        <v>368.67537510572964</v>
      </c>
      <c r="T172">
        <v>13</v>
      </c>
      <c r="U172">
        <v>0</v>
      </c>
      <c r="V172">
        <v>0</v>
      </c>
      <c r="W172">
        <v>19</v>
      </c>
      <c r="X172">
        <v>0</v>
      </c>
      <c r="Y172">
        <v>0</v>
      </c>
      <c r="Z172">
        <v>0</v>
      </c>
      <c r="AA172">
        <v>-132</v>
      </c>
      <c r="AB172">
        <v>106</v>
      </c>
      <c r="AC172">
        <v>1057</v>
      </c>
      <c r="AD172">
        <v>56.585250499999951</v>
      </c>
      <c r="AE172">
        <v>-6.6384369999999997</v>
      </c>
    </row>
    <row r="173" spans="1:31" x14ac:dyDescent="0.35">
      <c r="A173">
        <v>373489</v>
      </c>
      <c r="B173" s="2">
        <v>45878.875694444447</v>
      </c>
      <c r="C173" s="3">
        <v>45878</v>
      </c>
      <c r="D173" s="4">
        <v>0.8760648148148148</v>
      </c>
      <c r="E173">
        <v>0.8760648148148148</v>
      </c>
      <c r="F173" t="s">
        <v>31</v>
      </c>
      <c r="G173">
        <v>7</v>
      </c>
      <c r="H173">
        <v>3967</v>
      </c>
      <c r="I173">
        <v>70</v>
      </c>
      <c r="J173">
        <v>0</v>
      </c>
      <c r="K173">
        <v>0.9</v>
      </c>
      <c r="L173">
        <v>0.87569444444670808</v>
      </c>
      <c r="M173">
        <f t="shared" si="7"/>
        <v>0.71944444444670808</v>
      </c>
      <c r="N173" s="5">
        <v>56.584885</v>
      </c>
      <c r="O173">
        <v>-6.6392740000000003</v>
      </c>
      <c r="P173">
        <v>45878.875694444447</v>
      </c>
      <c r="Q173" s="6">
        <v>1.3423461872992357E-2</v>
      </c>
      <c r="R173" s="6">
        <f t="shared" si="8"/>
        <v>6.0666188552596896E-3</v>
      </c>
      <c r="S173" s="6">
        <f t="shared" si="9"/>
        <v>368.68144172458489</v>
      </c>
      <c r="T173">
        <v>18</v>
      </c>
      <c r="U173">
        <v>0</v>
      </c>
      <c r="V173">
        <v>0</v>
      </c>
      <c r="W173">
        <v>16</v>
      </c>
      <c r="X173">
        <v>0</v>
      </c>
      <c r="Y173">
        <v>0</v>
      </c>
      <c r="Z173">
        <v>0</v>
      </c>
      <c r="AA173">
        <v>-226</v>
      </c>
      <c r="AB173">
        <v>-233</v>
      </c>
      <c r="AC173">
        <v>1006</v>
      </c>
      <c r="AD173">
        <v>56.58486549999995</v>
      </c>
      <c r="AE173">
        <v>-6.6392830000000007</v>
      </c>
    </row>
    <row r="174" spans="1:31" x14ac:dyDescent="0.35">
      <c r="A174">
        <v>373489</v>
      </c>
      <c r="B174" s="2">
        <v>45878.563194444447</v>
      </c>
      <c r="C174" s="3">
        <v>45878</v>
      </c>
      <c r="D174" s="4">
        <v>0.56337962962962962</v>
      </c>
      <c r="E174">
        <v>0.56337962962962962</v>
      </c>
      <c r="F174" t="s">
        <v>31</v>
      </c>
      <c r="G174">
        <v>5</v>
      </c>
      <c r="H174">
        <v>3987</v>
      </c>
      <c r="I174">
        <v>73</v>
      </c>
      <c r="J174">
        <v>0</v>
      </c>
      <c r="K174">
        <v>1.8</v>
      </c>
      <c r="L174">
        <v>0.56319444444670808</v>
      </c>
      <c r="M174">
        <f t="shared" si="7"/>
        <v>0.79930555555620231</v>
      </c>
      <c r="N174" s="5">
        <v>56.584876999999899</v>
      </c>
      <c r="O174">
        <v>-6.639176</v>
      </c>
      <c r="P174">
        <v>45878.563194444447</v>
      </c>
      <c r="Q174" s="6">
        <v>1.3279389826812413E-2</v>
      </c>
      <c r="R174" s="6">
        <f t="shared" si="8"/>
        <v>5.0582257709831886E-2</v>
      </c>
      <c r="S174" s="6">
        <f t="shared" si="9"/>
        <v>368.73202398229472</v>
      </c>
      <c r="T174">
        <v>25</v>
      </c>
      <c r="U174">
        <v>0</v>
      </c>
      <c r="V174">
        <v>0</v>
      </c>
      <c r="W174">
        <v>25</v>
      </c>
      <c r="X174">
        <v>0</v>
      </c>
      <c r="Y174">
        <v>0</v>
      </c>
      <c r="Z174">
        <v>0</v>
      </c>
      <c r="AA174">
        <v>-212</v>
      </c>
      <c r="AB174">
        <v>-11</v>
      </c>
      <c r="AC174">
        <v>1044</v>
      </c>
      <c r="AD174">
        <v>56.584888499999899</v>
      </c>
      <c r="AE174">
        <v>-6.6391464999999998</v>
      </c>
    </row>
    <row r="175" spans="1:31" x14ac:dyDescent="0.35">
      <c r="A175">
        <v>373489</v>
      </c>
      <c r="B175" s="2">
        <v>45877.035416666666</v>
      </c>
      <c r="C175" s="3">
        <v>45877</v>
      </c>
      <c r="D175" s="4">
        <v>3.5567129629629629E-2</v>
      </c>
      <c r="E175">
        <v>3.5567129629629629E-2</v>
      </c>
      <c r="F175" t="s">
        <v>31</v>
      </c>
      <c r="G175">
        <v>7</v>
      </c>
      <c r="H175">
        <v>4115</v>
      </c>
      <c r="I175">
        <v>94</v>
      </c>
      <c r="J175">
        <v>0</v>
      </c>
      <c r="K175">
        <v>1.3</v>
      </c>
      <c r="L175">
        <v>3.5416666665696539E-2</v>
      </c>
      <c r="M175">
        <f t="shared" si="7"/>
        <v>0.84826388888905058</v>
      </c>
      <c r="N175" s="5">
        <v>56.585270000000001</v>
      </c>
      <c r="O175">
        <v>-6.6387600000000004</v>
      </c>
      <c r="P175">
        <v>45877.035416666666</v>
      </c>
      <c r="Q175" s="6">
        <v>1.3035614387479508E-2</v>
      </c>
      <c r="R175" s="6">
        <f t="shared" si="8"/>
        <v>1.1128667222450218E-2</v>
      </c>
      <c r="S175" s="6">
        <f t="shared" si="9"/>
        <v>368.74315264951719</v>
      </c>
      <c r="T175">
        <v>18</v>
      </c>
      <c r="U175">
        <v>0</v>
      </c>
      <c r="V175">
        <v>0</v>
      </c>
      <c r="W175">
        <v>17</v>
      </c>
      <c r="X175">
        <v>0</v>
      </c>
      <c r="Y175">
        <v>0</v>
      </c>
      <c r="Z175">
        <v>0</v>
      </c>
      <c r="AA175">
        <v>-174</v>
      </c>
      <c r="AB175">
        <v>-128</v>
      </c>
      <c r="AC175">
        <v>1034</v>
      </c>
      <c r="AD175">
        <v>56.585264000000002</v>
      </c>
      <c r="AE175">
        <v>-6.6387460000000003</v>
      </c>
    </row>
    <row r="176" spans="1:31" x14ac:dyDescent="0.35">
      <c r="A176">
        <v>373489</v>
      </c>
      <c r="B176" s="2">
        <v>45876.661111111112</v>
      </c>
      <c r="C176" s="3">
        <v>45876</v>
      </c>
      <c r="D176" s="4">
        <v>0.66114583333333332</v>
      </c>
      <c r="E176">
        <v>0.66114583333333332</v>
      </c>
      <c r="F176" t="s">
        <v>31</v>
      </c>
      <c r="G176">
        <v>7</v>
      </c>
      <c r="H176">
        <v>4171</v>
      </c>
      <c r="I176">
        <v>100</v>
      </c>
      <c r="J176">
        <v>0</v>
      </c>
      <c r="K176">
        <v>1.3</v>
      </c>
      <c r="L176">
        <v>0.66111111111240461</v>
      </c>
      <c r="M176">
        <f t="shared" si="7"/>
        <v>0.80312500000582077</v>
      </c>
      <c r="N176" s="5">
        <v>56.585242999999899</v>
      </c>
      <c r="O176">
        <v>-6.638585</v>
      </c>
      <c r="P176">
        <v>45876.661111111112</v>
      </c>
      <c r="Q176" s="6">
        <v>1.2997887493364127E-2</v>
      </c>
      <c r="R176" s="6">
        <f t="shared" si="8"/>
        <v>6.866694160362446E-3</v>
      </c>
      <c r="S176" s="6">
        <f t="shared" si="9"/>
        <v>368.75001934367754</v>
      </c>
      <c r="T176">
        <v>13</v>
      </c>
      <c r="U176">
        <v>0</v>
      </c>
      <c r="V176">
        <v>0</v>
      </c>
      <c r="W176">
        <v>25</v>
      </c>
      <c r="X176">
        <v>0</v>
      </c>
      <c r="Y176">
        <v>0</v>
      </c>
      <c r="Z176">
        <v>0</v>
      </c>
      <c r="AA176">
        <v>45</v>
      </c>
      <c r="AB176">
        <v>-84</v>
      </c>
      <c r="AC176">
        <v>1117</v>
      </c>
      <c r="AD176">
        <v>56.585244999999951</v>
      </c>
      <c r="AE176">
        <v>-6.6386004999999999</v>
      </c>
    </row>
    <row r="177" spans="1:31" x14ac:dyDescent="0.35">
      <c r="A177">
        <v>373489</v>
      </c>
      <c r="B177" s="2">
        <v>45876.945138888892</v>
      </c>
      <c r="C177" s="3">
        <v>45876</v>
      </c>
      <c r="D177" s="4">
        <v>0.94532407407407404</v>
      </c>
      <c r="E177">
        <v>0.94532407407407404</v>
      </c>
      <c r="F177" t="s">
        <v>31</v>
      </c>
      <c r="G177">
        <v>6</v>
      </c>
      <c r="H177">
        <v>4129</v>
      </c>
      <c r="I177">
        <v>97</v>
      </c>
      <c r="J177">
        <v>0</v>
      </c>
      <c r="K177">
        <v>1.2</v>
      </c>
      <c r="L177">
        <v>0.94513888889196096</v>
      </c>
      <c r="M177">
        <f t="shared" si="7"/>
        <v>0.30277777777519077</v>
      </c>
      <c r="N177" s="5">
        <v>56.585254999999897</v>
      </c>
      <c r="O177">
        <v>-6.6386950000000002</v>
      </c>
      <c r="P177">
        <v>45876.945138888892</v>
      </c>
      <c r="Q177" s="6">
        <v>1.2959350835145253E-2</v>
      </c>
      <c r="R177" s="6">
        <f t="shared" si="8"/>
        <v>2.9790850797604698E-2</v>
      </c>
      <c r="S177" s="6">
        <f t="shared" si="9"/>
        <v>368.77981019447515</v>
      </c>
      <c r="T177">
        <v>20</v>
      </c>
      <c r="U177">
        <v>0</v>
      </c>
      <c r="V177">
        <v>0</v>
      </c>
      <c r="W177">
        <v>17</v>
      </c>
      <c r="X177">
        <v>0</v>
      </c>
      <c r="Y177">
        <v>0</v>
      </c>
      <c r="Z177">
        <v>0</v>
      </c>
      <c r="AA177">
        <v>-229</v>
      </c>
      <c r="AB177">
        <v>-132</v>
      </c>
      <c r="AC177">
        <v>1020</v>
      </c>
      <c r="AD177">
        <v>56.585246999999953</v>
      </c>
      <c r="AE177">
        <v>-6.6387049999999999</v>
      </c>
    </row>
    <row r="178" spans="1:31" x14ac:dyDescent="0.35">
      <c r="A178">
        <v>373489</v>
      </c>
      <c r="B178" s="2">
        <v>45877.660416666666</v>
      </c>
      <c r="C178" s="3">
        <v>45877</v>
      </c>
      <c r="D178" s="4">
        <v>0.66060185185185183</v>
      </c>
      <c r="E178">
        <v>0.66060185185185183</v>
      </c>
      <c r="F178" t="s">
        <v>31</v>
      </c>
      <c r="G178">
        <v>6</v>
      </c>
      <c r="H178">
        <v>4015</v>
      </c>
      <c r="I178">
        <v>78</v>
      </c>
      <c r="J178">
        <v>0</v>
      </c>
      <c r="K178">
        <v>1.8</v>
      </c>
      <c r="L178">
        <v>0.66041666666569654</v>
      </c>
      <c r="M178">
        <f t="shared" si="7"/>
        <v>0.21597222222044365</v>
      </c>
      <c r="N178" s="5">
        <v>56.585116999999897</v>
      </c>
      <c r="O178">
        <v>-6.6382779999999997</v>
      </c>
      <c r="P178">
        <v>45877.660416666666</v>
      </c>
      <c r="Q178" s="6">
        <v>1.2866475980321227E-2</v>
      </c>
      <c r="R178" s="6">
        <f t="shared" si="8"/>
        <v>3.2038957907747939E-2</v>
      </c>
      <c r="S178" s="6">
        <f t="shared" si="9"/>
        <v>368.81184915238288</v>
      </c>
      <c r="T178">
        <v>15</v>
      </c>
      <c r="U178">
        <v>0</v>
      </c>
      <c r="V178">
        <v>0</v>
      </c>
      <c r="W178">
        <v>24</v>
      </c>
      <c r="X178">
        <v>0</v>
      </c>
      <c r="Y178">
        <v>0</v>
      </c>
      <c r="Z178">
        <v>0</v>
      </c>
      <c r="AA178">
        <v>-272</v>
      </c>
      <c r="AB178">
        <v>209</v>
      </c>
      <c r="AC178">
        <v>1075</v>
      </c>
      <c r="AD178">
        <v>56.58510749999995</v>
      </c>
      <c r="AE178">
        <v>-6.6382750000000001</v>
      </c>
    </row>
    <row r="179" spans="1:31" x14ac:dyDescent="0.35">
      <c r="A179">
        <v>373489</v>
      </c>
      <c r="B179" s="2">
        <v>45876.771527777775</v>
      </c>
      <c r="C179" s="3">
        <v>45876</v>
      </c>
      <c r="D179" s="4">
        <v>0.77173611111111107</v>
      </c>
      <c r="E179">
        <v>0.77173611111111107</v>
      </c>
      <c r="F179" t="s">
        <v>31</v>
      </c>
      <c r="G179">
        <v>8</v>
      </c>
      <c r="H179">
        <v>4160</v>
      </c>
      <c r="I179">
        <v>100</v>
      </c>
      <c r="J179">
        <v>0</v>
      </c>
      <c r="K179">
        <v>1.1000000000000001</v>
      </c>
      <c r="L179">
        <v>0.77152777777519077</v>
      </c>
      <c r="M179">
        <f t="shared" si="7"/>
        <v>0.96249999999417923</v>
      </c>
      <c r="N179" s="5">
        <v>56.585239000000001</v>
      </c>
      <c r="O179">
        <v>-6.6387520000000002</v>
      </c>
      <c r="P179">
        <v>45876.771527777775</v>
      </c>
      <c r="Q179" s="6">
        <v>1.285926165423122E-2</v>
      </c>
      <c r="R179" s="6">
        <f t="shared" si="8"/>
        <v>4.8959631854491314E-3</v>
      </c>
      <c r="S179" s="6">
        <f t="shared" si="9"/>
        <v>368.81674511556832</v>
      </c>
      <c r="T179">
        <v>11</v>
      </c>
      <c r="U179">
        <v>0</v>
      </c>
      <c r="V179">
        <v>0</v>
      </c>
      <c r="W179">
        <v>18</v>
      </c>
      <c r="X179">
        <v>0</v>
      </c>
      <c r="Y179">
        <v>0</v>
      </c>
      <c r="Z179">
        <v>0</v>
      </c>
      <c r="AA179">
        <v>-71</v>
      </c>
      <c r="AB179">
        <v>-307</v>
      </c>
      <c r="AC179">
        <v>1010</v>
      </c>
      <c r="AD179">
        <v>56.585239000000001</v>
      </c>
      <c r="AE179">
        <v>-6.6387345</v>
      </c>
    </row>
    <row r="180" spans="1:31" x14ac:dyDescent="0.35">
      <c r="A180">
        <v>373489</v>
      </c>
      <c r="B180" s="2">
        <v>45877.15347222222</v>
      </c>
      <c r="C180" s="3">
        <v>45877</v>
      </c>
      <c r="D180" s="4">
        <v>0.15371527777777777</v>
      </c>
      <c r="E180">
        <v>0.15371527777777777</v>
      </c>
      <c r="F180" t="s">
        <v>31</v>
      </c>
      <c r="G180">
        <v>5</v>
      </c>
      <c r="H180">
        <v>4095</v>
      </c>
      <c r="I180">
        <v>91</v>
      </c>
      <c r="J180">
        <v>0</v>
      </c>
      <c r="K180">
        <v>1.9</v>
      </c>
      <c r="L180">
        <v>0.15347222222044365</v>
      </c>
      <c r="M180">
        <f t="shared" si="7"/>
        <v>0.36180555555620231</v>
      </c>
      <c r="N180" s="5">
        <v>56.585281000000002</v>
      </c>
      <c r="O180">
        <v>-6.6387280000000004</v>
      </c>
      <c r="P180">
        <v>45877.15347222222</v>
      </c>
      <c r="Q180" s="6">
        <v>1.2309918507914113E-2</v>
      </c>
      <c r="R180" s="6">
        <f t="shared" si="8"/>
        <v>2.8398497519767762E-2</v>
      </c>
      <c r="S180" s="6">
        <f t="shared" si="9"/>
        <v>368.84514361308811</v>
      </c>
      <c r="T180">
        <v>7</v>
      </c>
      <c r="U180">
        <v>0</v>
      </c>
      <c r="V180">
        <v>0</v>
      </c>
      <c r="W180">
        <v>15</v>
      </c>
      <c r="X180">
        <v>0</v>
      </c>
      <c r="Y180">
        <v>0</v>
      </c>
      <c r="Z180">
        <v>0</v>
      </c>
      <c r="AA180">
        <v>-220</v>
      </c>
      <c r="AB180">
        <v>-507</v>
      </c>
      <c r="AC180">
        <v>933</v>
      </c>
      <c r="AD180">
        <v>56.585277499999947</v>
      </c>
      <c r="AE180">
        <v>-6.6387435000000004</v>
      </c>
    </row>
    <row r="181" spans="1:31" x14ac:dyDescent="0.35">
      <c r="A181">
        <v>373489</v>
      </c>
      <c r="B181" s="2">
        <v>45877.570138888892</v>
      </c>
      <c r="C181" s="3">
        <v>45877</v>
      </c>
      <c r="D181" s="4">
        <v>0.57034722222222223</v>
      </c>
      <c r="E181">
        <v>0.57034722222222223</v>
      </c>
      <c r="F181" t="s">
        <v>31</v>
      </c>
      <c r="G181">
        <v>4</v>
      </c>
      <c r="H181">
        <v>4015</v>
      </c>
      <c r="I181">
        <v>78</v>
      </c>
      <c r="J181">
        <v>0</v>
      </c>
      <c r="K181">
        <v>2</v>
      </c>
      <c r="L181">
        <v>0.57013888889196096</v>
      </c>
      <c r="M181">
        <f t="shared" si="7"/>
        <v>0.99722222222771961</v>
      </c>
      <c r="N181" s="5">
        <v>56.585166999999899</v>
      </c>
      <c r="O181">
        <v>-6.6383130000000001</v>
      </c>
      <c r="P181">
        <v>45877.570138888892</v>
      </c>
      <c r="Q181" s="6">
        <v>1.2184604943696971E-2</v>
      </c>
      <c r="R181" s="6">
        <f t="shared" si="8"/>
        <v>5.991506166984234E-2</v>
      </c>
      <c r="S181" s="6">
        <f t="shared" si="9"/>
        <v>368.90505867475798</v>
      </c>
      <c r="T181">
        <v>18</v>
      </c>
      <c r="U181">
        <v>0</v>
      </c>
      <c r="V181">
        <v>0</v>
      </c>
      <c r="W181">
        <v>19</v>
      </c>
      <c r="X181">
        <v>0</v>
      </c>
      <c r="Y181">
        <v>0</v>
      </c>
      <c r="Z181">
        <v>0</v>
      </c>
      <c r="AA181">
        <v>-189</v>
      </c>
      <c r="AB181">
        <v>141</v>
      </c>
      <c r="AC181">
        <v>1022</v>
      </c>
      <c r="AD181">
        <v>56.58516099999995</v>
      </c>
      <c r="AE181">
        <v>-6.6383255000000005</v>
      </c>
    </row>
    <row r="182" spans="1:31" x14ac:dyDescent="0.35">
      <c r="A182">
        <v>373489</v>
      </c>
      <c r="B182" s="2">
        <v>45878.424305555556</v>
      </c>
      <c r="C182" s="3">
        <v>45878</v>
      </c>
      <c r="D182" s="4">
        <v>0.42452546296296295</v>
      </c>
      <c r="E182">
        <v>0.42452546296296295</v>
      </c>
      <c r="F182" t="s">
        <v>31</v>
      </c>
      <c r="G182">
        <v>5</v>
      </c>
      <c r="H182">
        <v>3975</v>
      </c>
      <c r="I182">
        <v>71</v>
      </c>
      <c r="J182">
        <v>0</v>
      </c>
      <c r="K182">
        <v>1.9</v>
      </c>
      <c r="L182">
        <v>0.42430555555620231</v>
      </c>
      <c r="M182">
        <f t="shared" si="7"/>
        <v>0.54583333333721384</v>
      </c>
      <c r="N182" s="5">
        <v>56.584907999999899</v>
      </c>
      <c r="O182">
        <v>-6.6391710000000002</v>
      </c>
      <c r="P182">
        <v>45878.424305555556</v>
      </c>
      <c r="Q182" s="6">
        <v>1.2167024072356316E-2</v>
      </c>
      <c r="R182" s="6">
        <f t="shared" si="8"/>
        <v>3.7148648263495314E-3</v>
      </c>
      <c r="S182" s="6">
        <f t="shared" si="9"/>
        <v>368.90877353958433</v>
      </c>
      <c r="T182">
        <v>18</v>
      </c>
      <c r="U182">
        <v>1</v>
      </c>
      <c r="V182">
        <v>0</v>
      </c>
      <c r="W182">
        <v>18</v>
      </c>
      <c r="X182">
        <v>0</v>
      </c>
      <c r="Y182">
        <v>0</v>
      </c>
      <c r="Z182">
        <v>0</v>
      </c>
      <c r="AA182">
        <v>-70</v>
      </c>
      <c r="AB182">
        <v>-321</v>
      </c>
      <c r="AC182">
        <v>1052</v>
      </c>
      <c r="AD182">
        <v>56.584911499999947</v>
      </c>
      <c r="AE182">
        <v>-6.6391384999999996</v>
      </c>
    </row>
    <row r="183" spans="1:31" x14ac:dyDescent="0.35">
      <c r="A183">
        <v>373489</v>
      </c>
      <c r="B183" s="2">
        <v>45878.667361111111</v>
      </c>
      <c r="C183" s="3">
        <v>45878</v>
      </c>
      <c r="D183" s="4">
        <v>0.66756944444444444</v>
      </c>
      <c r="E183">
        <v>0.66756944444444444</v>
      </c>
      <c r="F183" t="s">
        <v>31</v>
      </c>
      <c r="G183">
        <v>4</v>
      </c>
      <c r="H183">
        <v>3987</v>
      </c>
      <c r="I183">
        <v>73</v>
      </c>
      <c r="J183">
        <v>0</v>
      </c>
      <c r="K183">
        <v>2</v>
      </c>
      <c r="L183">
        <v>0.66736111111094942</v>
      </c>
      <c r="M183">
        <f t="shared" si="7"/>
        <v>0.82708333333721384</v>
      </c>
      <c r="N183" s="5">
        <v>56.584885</v>
      </c>
      <c r="O183">
        <v>-6.6392150000000001</v>
      </c>
      <c r="P183">
        <v>45878.667361111111</v>
      </c>
      <c r="Q183" s="6">
        <v>1.192876650049361E-2</v>
      </c>
      <c r="R183" s="6">
        <f t="shared" si="8"/>
        <v>5.0491805072270989E-2</v>
      </c>
      <c r="S183" s="6">
        <f t="shared" si="9"/>
        <v>368.95926534465661</v>
      </c>
      <c r="T183">
        <v>14</v>
      </c>
      <c r="U183">
        <v>1</v>
      </c>
      <c r="V183">
        <v>0</v>
      </c>
      <c r="W183">
        <v>22</v>
      </c>
      <c r="X183">
        <v>0</v>
      </c>
      <c r="Y183">
        <v>0</v>
      </c>
      <c r="Z183">
        <v>0</v>
      </c>
      <c r="AA183">
        <v>-171</v>
      </c>
      <c r="AB183">
        <v>-106</v>
      </c>
      <c r="AC183">
        <v>1038</v>
      </c>
      <c r="AD183">
        <v>56.584900000000005</v>
      </c>
      <c r="AE183">
        <v>-6.6392354999999998</v>
      </c>
    </row>
    <row r="184" spans="1:31" x14ac:dyDescent="0.35">
      <c r="A184">
        <v>373489</v>
      </c>
      <c r="B184" s="2">
        <v>45876.986805555556</v>
      </c>
      <c r="C184" s="3">
        <v>45876</v>
      </c>
      <c r="D184" s="4">
        <v>0.98700231481481482</v>
      </c>
      <c r="E184">
        <v>0.98700231481481482</v>
      </c>
      <c r="F184" t="s">
        <v>31</v>
      </c>
      <c r="G184">
        <v>7</v>
      </c>
      <c r="H184">
        <v>4123</v>
      </c>
      <c r="I184">
        <v>96</v>
      </c>
      <c r="J184">
        <v>0</v>
      </c>
      <c r="K184">
        <v>1.1000000000000001</v>
      </c>
      <c r="L184">
        <v>0.98680555555620231</v>
      </c>
      <c r="M184">
        <f t="shared" si="7"/>
        <v>0.87569444444670808</v>
      </c>
      <c r="N184" s="5">
        <v>56.585254999999897</v>
      </c>
      <c r="O184">
        <v>-6.6387369999999999</v>
      </c>
      <c r="P184">
        <v>45876.986805555556</v>
      </c>
      <c r="Q184" s="6">
        <v>1.191689650820427E-2</v>
      </c>
      <c r="R184" s="6">
        <f t="shared" si="8"/>
        <v>4.7074517227951022E-2</v>
      </c>
      <c r="S184" s="6">
        <f t="shared" si="9"/>
        <v>369.00633986188456</v>
      </c>
      <c r="T184">
        <v>11</v>
      </c>
      <c r="U184">
        <v>0</v>
      </c>
      <c r="V184">
        <v>0</v>
      </c>
      <c r="W184">
        <v>17</v>
      </c>
      <c r="X184">
        <v>0</v>
      </c>
      <c r="Y184">
        <v>0</v>
      </c>
      <c r="Z184">
        <v>0</v>
      </c>
      <c r="AA184">
        <v>-255</v>
      </c>
      <c r="AB184">
        <v>-216</v>
      </c>
      <c r="AC184">
        <v>1020</v>
      </c>
      <c r="AD184">
        <v>56.58525099999995</v>
      </c>
      <c r="AE184">
        <v>-6.6387225000000001</v>
      </c>
    </row>
    <row r="185" spans="1:31" x14ac:dyDescent="0.35">
      <c r="A185">
        <v>373489</v>
      </c>
      <c r="B185" s="2">
        <v>45878.76458333333</v>
      </c>
      <c r="C185" s="3">
        <v>45878</v>
      </c>
      <c r="D185" s="4">
        <v>0.76475694444444442</v>
      </c>
      <c r="E185">
        <v>0.76475694444444442</v>
      </c>
      <c r="F185" t="s">
        <v>31</v>
      </c>
      <c r="G185">
        <v>8</v>
      </c>
      <c r="H185">
        <v>3975</v>
      </c>
      <c r="I185">
        <v>71</v>
      </c>
      <c r="J185">
        <v>0</v>
      </c>
      <c r="K185">
        <v>1.1000000000000001</v>
      </c>
      <c r="L185">
        <v>0.76458333332993789</v>
      </c>
      <c r="M185">
        <f t="shared" si="7"/>
        <v>0.68819444444670808</v>
      </c>
      <c r="N185" s="5">
        <v>56.584923000000003</v>
      </c>
      <c r="O185">
        <v>-6.6392139999999999</v>
      </c>
      <c r="P185">
        <v>45878.76458333333</v>
      </c>
      <c r="Q185" s="6">
        <v>1.1866810085734224E-2</v>
      </c>
      <c r="R185" s="6">
        <f t="shared" si="8"/>
        <v>2.2800143054809248E-3</v>
      </c>
      <c r="S185" s="6">
        <f t="shared" si="9"/>
        <v>369.00861987619004</v>
      </c>
      <c r="T185">
        <v>4</v>
      </c>
      <c r="U185">
        <v>0</v>
      </c>
      <c r="V185">
        <v>112</v>
      </c>
      <c r="W185">
        <v>20</v>
      </c>
      <c r="X185">
        <v>0</v>
      </c>
      <c r="Y185">
        <v>0</v>
      </c>
      <c r="Z185">
        <v>0</v>
      </c>
      <c r="AA185">
        <v>-171</v>
      </c>
      <c r="AB185">
        <v>-144</v>
      </c>
      <c r="AC185">
        <v>1035</v>
      </c>
      <c r="AD185">
        <v>56.584940000000003</v>
      </c>
      <c r="AE185">
        <v>-6.6392234999999999</v>
      </c>
    </row>
    <row r="186" spans="1:31" x14ac:dyDescent="0.35">
      <c r="A186">
        <v>373489</v>
      </c>
      <c r="B186" s="2">
        <v>45878.611805555556</v>
      </c>
      <c r="C186" s="3">
        <v>45878</v>
      </c>
      <c r="D186" s="4">
        <v>0.61200231481481482</v>
      </c>
      <c r="E186">
        <v>0.61200231481481482</v>
      </c>
      <c r="F186" t="s">
        <v>31</v>
      </c>
      <c r="G186">
        <v>6</v>
      </c>
      <c r="H186">
        <v>3990</v>
      </c>
      <c r="I186">
        <v>73</v>
      </c>
      <c r="J186">
        <v>0</v>
      </c>
      <c r="K186">
        <v>2</v>
      </c>
      <c r="L186">
        <v>0.61180555555620231</v>
      </c>
      <c r="M186">
        <f t="shared" si="7"/>
        <v>0.51111111111094942</v>
      </c>
      <c r="N186" s="5">
        <v>56.584904000000002</v>
      </c>
      <c r="O186">
        <v>-6.6392280000000001</v>
      </c>
      <c r="P186">
        <v>45878.611805555556</v>
      </c>
      <c r="Q186" s="6">
        <v>1.1671825736525365E-2</v>
      </c>
      <c r="R186" s="6">
        <f t="shared" si="8"/>
        <v>1.6724141391423338E-3</v>
      </c>
      <c r="S186" s="6">
        <f t="shared" si="9"/>
        <v>369.01029229032918</v>
      </c>
      <c r="T186">
        <v>3</v>
      </c>
      <c r="U186">
        <v>1</v>
      </c>
      <c r="V186">
        <v>0</v>
      </c>
      <c r="W186">
        <v>26</v>
      </c>
      <c r="X186">
        <v>0</v>
      </c>
      <c r="Y186">
        <v>0</v>
      </c>
      <c r="Z186">
        <v>0</v>
      </c>
      <c r="AA186">
        <v>-222</v>
      </c>
      <c r="AB186">
        <v>144</v>
      </c>
      <c r="AC186">
        <v>1024</v>
      </c>
      <c r="AD186">
        <v>56.584921000000001</v>
      </c>
      <c r="AE186">
        <v>-6.6392354999999998</v>
      </c>
    </row>
    <row r="187" spans="1:31" x14ac:dyDescent="0.35">
      <c r="A187">
        <v>373489</v>
      </c>
      <c r="B187" s="2">
        <v>45878.410416666666</v>
      </c>
      <c r="C187" s="3">
        <v>45878</v>
      </c>
      <c r="D187" s="4">
        <v>0.41063657407407406</v>
      </c>
      <c r="E187">
        <v>0.41063657407407406</v>
      </c>
      <c r="F187" t="s">
        <v>31</v>
      </c>
      <c r="G187">
        <v>7</v>
      </c>
      <c r="H187">
        <v>3975</v>
      </c>
      <c r="I187">
        <v>71</v>
      </c>
      <c r="J187">
        <v>0</v>
      </c>
      <c r="K187">
        <v>1.1000000000000001</v>
      </c>
      <c r="L187">
        <v>0.41041666666569654</v>
      </c>
      <c r="M187">
        <f t="shared" si="7"/>
        <v>0.11874999999417923</v>
      </c>
      <c r="N187" s="5">
        <v>56.5849189999999</v>
      </c>
      <c r="O187">
        <v>-6.6392300000000004</v>
      </c>
      <c r="P187">
        <v>45878.410416666666</v>
      </c>
      <c r="Q187" s="6">
        <v>1.1442914226528392E-2</v>
      </c>
      <c r="R187" s="6">
        <f t="shared" si="8"/>
        <v>6.3946696363775118E-2</v>
      </c>
      <c r="S187" s="6">
        <f t="shared" si="9"/>
        <v>369.07423898669293</v>
      </c>
      <c r="T187">
        <v>13</v>
      </c>
      <c r="U187">
        <v>0</v>
      </c>
      <c r="V187">
        <v>98</v>
      </c>
      <c r="W187">
        <v>20</v>
      </c>
      <c r="X187">
        <v>0</v>
      </c>
      <c r="Y187">
        <v>0</v>
      </c>
      <c r="Z187">
        <v>0</v>
      </c>
      <c r="AA187">
        <v>-22</v>
      </c>
      <c r="AB187">
        <v>225</v>
      </c>
      <c r="AC187">
        <v>1000</v>
      </c>
      <c r="AD187">
        <v>56.584913499999899</v>
      </c>
      <c r="AE187">
        <v>-6.6392005000000003</v>
      </c>
    </row>
    <row r="188" spans="1:31" x14ac:dyDescent="0.35">
      <c r="A188">
        <v>373489</v>
      </c>
      <c r="B188" s="2">
        <v>45877.82708333333</v>
      </c>
      <c r="C188" s="3">
        <v>45877</v>
      </c>
      <c r="D188" s="4">
        <v>0.82730324074074069</v>
      </c>
      <c r="E188">
        <v>0.82730324074074069</v>
      </c>
      <c r="F188" t="s">
        <v>31</v>
      </c>
      <c r="G188">
        <v>5</v>
      </c>
      <c r="H188">
        <v>3995</v>
      </c>
      <c r="I188">
        <v>74</v>
      </c>
      <c r="J188">
        <v>0</v>
      </c>
      <c r="K188">
        <v>1.3</v>
      </c>
      <c r="L188">
        <v>0.82708333332993789</v>
      </c>
      <c r="M188">
        <f t="shared" si="7"/>
        <v>0.43819444444670808</v>
      </c>
      <c r="N188" s="5">
        <v>56.585158999999898</v>
      </c>
      <c r="O188">
        <v>-6.6382810000000001</v>
      </c>
      <c r="P188">
        <v>45877.82708333333</v>
      </c>
      <c r="Q188" s="6">
        <v>1.141454833150185E-2</v>
      </c>
      <c r="R188" s="6">
        <f t="shared" si="8"/>
        <v>2.8878742041986087E-2</v>
      </c>
      <c r="S188" s="6">
        <f t="shared" si="9"/>
        <v>369.1031177287349</v>
      </c>
      <c r="T188">
        <v>46</v>
      </c>
      <c r="U188">
        <v>0</v>
      </c>
      <c r="V188">
        <v>330</v>
      </c>
      <c r="W188">
        <v>19</v>
      </c>
      <c r="X188">
        <v>0</v>
      </c>
      <c r="Y188">
        <v>0</v>
      </c>
      <c r="Z188">
        <v>0</v>
      </c>
      <c r="AA188">
        <v>-235</v>
      </c>
      <c r="AB188">
        <v>-136</v>
      </c>
      <c r="AC188">
        <v>1026</v>
      </c>
      <c r="AD188">
        <v>56.585141999999898</v>
      </c>
      <c r="AE188">
        <v>-6.6382845000000001</v>
      </c>
    </row>
    <row r="189" spans="1:31" x14ac:dyDescent="0.35">
      <c r="A189">
        <v>373489</v>
      </c>
      <c r="B189" s="2">
        <v>45877.049305555556</v>
      </c>
      <c r="C189" s="3">
        <v>45877</v>
      </c>
      <c r="D189" s="4">
        <v>4.9479166666666664E-2</v>
      </c>
      <c r="E189">
        <v>4.9479166666666664E-2</v>
      </c>
      <c r="F189" t="s">
        <v>31</v>
      </c>
      <c r="G189">
        <v>7</v>
      </c>
      <c r="H189">
        <v>4115</v>
      </c>
      <c r="I189">
        <v>94</v>
      </c>
      <c r="J189">
        <v>0</v>
      </c>
      <c r="K189">
        <v>1.1000000000000001</v>
      </c>
      <c r="L189">
        <v>4.9305555556202307E-2</v>
      </c>
      <c r="M189">
        <f t="shared" si="7"/>
        <v>0.19861111111094942</v>
      </c>
      <c r="N189" s="5">
        <v>56.585258000000003</v>
      </c>
      <c r="O189">
        <v>-6.6387169999999998</v>
      </c>
      <c r="P189">
        <v>45877.049305555556</v>
      </c>
      <c r="Q189" s="6">
        <v>1.1202470832977278E-2</v>
      </c>
      <c r="R189" s="6">
        <f t="shared" si="8"/>
        <v>2.3097663090270101E-2</v>
      </c>
      <c r="S189" s="6">
        <f t="shared" si="9"/>
        <v>369.12621539182516</v>
      </c>
      <c r="T189">
        <v>16</v>
      </c>
      <c r="U189">
        <v>0</v>
      </c>
      <c r="V189">
        <v>0</v>
      </c>
      <c r="W189">
        <v>18</v>
      </c>
      <c r="X189">
        <v>0</v>
      </c>
      <c r="Y189">
        <v>0</v>
      </c>
      <c r="Z189">
        <v>0</v>
      </c>
      <c r="AA189">
        <v>-183</v>
      </c>
      <c r="AB189">
        <v>-131</v>
      </c>
      <c r="AC189">
        <v>1024</v>
      </c>
      <c r="AD189">
        <v>56.58525649999995</v>
      </c>
      <c r="AE189">
        <v>-6.6387320000000001</v>
      </c>
    </row>
    <row r="190" spans="1:31" x14ac:dyDescent="0.35">
      <c r="A190">
        <v>373489</v>
      </c>
      <c r="B190" s="2">
        <v>45877.347916666666</v>
      </c>
      <c r="C190" s="3">
        <v>45877</v>
      </c>
      <c r="D190" s="4">
        <v>0.34810185185185183</v>
      </c>
      <c r="E190">
        <v>0.34810185185185183</v>
      </c>
      <c r="F190" t="s">
        <v>31</v>
      </c>
      <c r="G190">
        <v>7</v>
      </c>
      <c r="H190">
        <v>4058</v>
      </c>
      <c r="I190">
        <v>85</v>
      </c>
      <c r="J190">
        <v>0</v>
      </c>
      <c r="K190">
        <v>1.1000000000000001</v>
      </c>
      <c r="L190">
        <v>0.34791666666569654</v>
      </c>
      <c r="M190">
        <f t="shared" si="7"/>
        <v>0.49374999999417923</v>
      </c>
      <c r="N190" s="5">
        <v>56.585284999999899</v>
      </c>
      <c r="O190">
        <v>-6.6383429999999999</v>
      </c>
      <c r="P190">
        <v>45877.347916666666</v>
      </c>
      <c r="Q190" s="6">
        <v>1.1088907746604756E-2</v>
      </c>
      <c r="R190" s="6">
        <f t="shared" si="8"/>
        <v>1.5825598952103205E-2</v>
      </c>
      <c r="S190" s="6">
        <f t="shared" si="9"/>
        <v>369.14204099077728</v>
      </c>
      <c r="T190">
        <v>14</v>
      </c>
      <c r="U190">
        <v>0</v>
      </c>
      <c r="V190">
        <v>0</v>
      </c>
      <c r="W190">
        <v>18</v>
      </c>
      <c r="X190">
        <v>0</v>
      </c>
      <c r="Y190">
        <v>0</v>
      </c>
      <c r="Z190">
        <v>0</v>
      </c>
      <c r="AA190">
        <v>-73</v>
      </c>
      <c r="AB190">
        <v>-4</v>
      </c>
      <c r="AC190">
        <v>1060</v>
      </c>
      <c r="AD190">
        <v>56.585292499999895</v>
      </c>
      <c r="AE190">
        <v>-6.6383364999999994</v>
      </c>
    </row>
    <row r="191" spans="1:31" x14ac:dyDescent="0.35">
      <c r="A191">
        <v>373489</v>
      </c>
      <c r="B191" s="2">
        <v>45877.63958333333</v>
      </c>
      <c r="C191" s="3">
        <v>45877</v>
      </c>
      <c r="D191" s="4">
        <v>0.63976851851851857</v>
      </c>
      <c r="E191">
        <v>0.63976851851851857</v>
      </c>
      <c r="F191" t="s">
        <v>31</v>
      </c>
      <c r="G191">
        <v>6</v>
      </c>
      <c r="H191">
        <v>4015</v>
      </c>
      <c r="I191">
        <v>78</v>
      </c>
      <c r="J191">
        <v>0</v>
      </c>
      <c r="K191">
        <v>1.5</v>
      </c>
      <c r="L191">
        <v>0.63958333332993789</v>
      </c>
      <c r="M191">
        <f t="shared" si="7"/>
        <v>0.43472222222044365</v>
      </c>
      <c r="N191" s="5">
        <v>56.585152000000001</v>
      </c>
      <c r="O191">
        <v>-6.6382510000000003</v>
      </c>
      <c r="P191">
        <v>45877.63958333333</v>
      </c>
      <c r="Q191" s="6">
        <v>1.1071982197673674E-2</v>
      </c>
      <c r="R191" s="6">
        <f t="shared" si="8"/>
        <v>3.3056476485377788E-2</v>
      </c>
      <c r="S191" s="6">
        <f t="shared" si="9"/>
        <v>369.17509746726267</v>
      </c>
      <c r="T191">
        <v>14</v>
      </c>
      <c r="U191">
        <v>0</v>
      </c>
      <c r="V191">
        <v>0</v>
      </c>
      <c r="W191">
        <v>22</v>
      </c>
      <c r="X191">
        <v>0</v>
      </c>
      <c r="Y191">
        <v>0</v>
      </c>
      <c r="Z191">
        <v>0</v>
      </c>
      <c r="AA191">
        <v>-174</v>
      </c>
      <c r="AB191">
        <v>-405</v>
      </c>
      <c r="AC191">
        <v>958</v>
      </c>
      <c r="AD191">
        <v>56.58514399999995</v>
      </c>
      <c r="AE191">
        <v>-6.6382469999999998</v>
      </c>
    </row>
    <row r="192" spans="1:31" x14ac:dyDescent="0.35">
      <c r="A192">
        <v>373489</v>
      </c>
      <c r="B192" s="2">
        <v>45877.229861111111</v>
      </c>
      <c r="C192" s="3">
        <v>45877</v>
      </c>
      <c r="D192" s="4">
        <v>0.23003472222222221</v>
      </c>
      <c r="E192">
        <v>0.23003472222222221</v>
      </c>
      <c r="F192" t="s">
        <v>31</v>
      </c>
      <c r="G192">
        <v>5</v>
      </c>
      <c r="H192">
        <v>4080</v>
      </c>
      <c r="I192">
        <v>88</v>
      </c>
      <c r="J192">
        <v>0</v>
      </c>
      <c r="K192">
        <v>2</v>
      </c>
      <c r="L192">
        <v>0.22986111111094942</v>
      </c>
      <c r="M192">
        <f t="shared" si="7"/>
        <v>0.913888888884685</v>
      </c>
      <c r="N192" s="5">
        <v>56.585411000000001</v>
      </c>
      <c r="O192">
        <v>-6.6385160000000001</v>
      </c>
      <c r="P192">
        <v>45877.229861111111</v>
      </c>
      <c r="Q192" s="6">
        <v>1.0917540054283203E-2</v>
      </c>
      <c r="R192" s="6">
        <f t="shared" si="8"/>
        <v>7.0417217788660266E-2</v>
      </c>
      <c r="S192" s="6">
        <f t="shared" si="9"/>
        <v>369.24551468505132</v>
      </c>
      <c r="T192">
        <v>12</v>
      </c>
      <c r="U192">
        <v>0</v>
      </c>
      <c r="V192">
        <v>0</v>
      </c>
      <c r="W192">
        <v>15</v>
      </c>
      <c r="X192">
        <v>0</v>
      </c>
      <c r="Y192">
        <v>0</v>
      </c>
      <c r="Z192">
        <v>0</v>
      </c>
      <c r="AA192">
        <v>-159</v>
      </c>
      <c r="AB192">
        <v>-25</v>
      </c>
      <c r="AC192">
        <v>1046</v>
      </c>
      <c r="AD192">
        <v>56.5854055</v>
      </c>
      <c r="AE192">
        <v>-6.6385050000000003</v>
      </c>
    </row>
    <row r="193" spans="1:31" x14ac:dyDescent="0.35">
      <c r="A193">
        <v>373489</v>
      </c>
      <c r="B193" s="2">
        <v>45878.597916666666</v>
      </c>
      <c r="C193" s="3">
        <v>45878</v>
      </c>
      <c r="D193" s="4">
        <v>0.59812500000000002</v>
      </c>
      <c r="E193">
        <v>0.59812500000000002</v>
      </c>
      <c r="F193" t="s">
        <v>31</v>
      </c>
      <c r="G193">
        <v>7</v>
      </c>
      <c r="H193">
        <v>3987</v>
      </c>
      <c r="I193">
        <v>73</v>
      </c>
      <c r="J193">
        <v>0</v>
      </c>
      <c r="K193">
        <v>1.9</v>
      </c>
      <c r="L193">
        <v>0.59791666666569654</v>
      </c>
      <c r="M193">
        <f t="shared" si="7"/>
        <v>0.93506944444379769</v>
      </c>
      <c r="N193" s="5">
        <v>56.58493</v>
      </c>
      <c r="O193">
        <v>-6.6392639999999998</v>
      </c>
      <c r="P193">
        <v>45878.597916666666</v>
      </c>
      <c r="Q193" s="6">
        <v>1.0906943276079677E-2</v>
      </c>
      <c r="R193" s="6">
        <f t="shared" si="8"/>
        <v>6.7420513060855891E-2</v>
      </c>
      <c r="S193" s="6">
        <f t="shared" si="9"/>
        <v>369.3129351981122</v>
      </c>
      <c r="T193">
        <v>12</v>
      </c>
      <c r="U193">
        <v>0</v>
      </c>
      <c r="V193">
        <v>0</v>
      </c>
      <c r="W193">
        <v>26</v>
      </c>
      <c r="X193">
        <v>0</v>
      </c>
      <c r="Y193">
        <v>0</v>
      </c>
      <c r="Z193">
        <v>0</v>
      </c>
      <c r="AA193">
        <v>-252</v>
      </c>
      <c r="AB193">
        <v>-54</v>
      </c>
      <c r="AC193">
        <v>1030</v>
      </c>
      <c r="AD193">
        <v>56.584917000000004</v>
      </c>
      <c r="AE193">
        <v>-6.639246</v>
      </c>
    </row>
    <row r="194" spans="1:31" x14ac:dyDescent="0.35">
      <c r="A194">
        <v>373489</v>
      </c>
      <c r="B194" s="2">
        <v>45877.272222222222</v>
      </c>
      <c r="C194" s="3">
        <v>45877</v>
      </c>
      <c r="D194" s="4">
        <v>0.27256944444444442</v>
      </c>
      <c r="E194">
        <v>0.27256944444444442</v>
      </c>
      <c r="F194" t="s">
        <v>31</v>
      </c>
      <c r="G194">
        <v>5</v>
      </c>
      <c r="H194">
        <v>4078</v>
      </c>
      <c r="I194">
        <v>88</v>
      </c>
      <c r="J194">
        <v>0</v>
      </c>
      <c r="K194">
        <v>1.5</v>
      </c>
      <c r="L194">
        <v>0.27222222222189885</v>
      </c>
      <c r="M194">
        <f t="shared" ref="M194:M257" si="10">AVERAGE(P194:P195)-INT(AVERAGE(P194:P195))</f>
        <v>0.11562499999854481</v>
      </c>
      <c r="N194" s="5">
        <v>56.585346000000001</v>
      </c>
      <c r="O194">
        <v>-6.6384629999999998</v>
      </c>
      <c r="P194">
        <v>45877.272222222222</v>
      </c>
      <c r="Q194" s="6">
        <v>1.0792794767314498E-2</v>
      </c>
      <c r="R194" s="6">
        <f t="shared" ref="R194:R249" si="11">(6371*2*ASIN(SQRT((SIN((RADIANS($N194)-RADIANS($N195))/2)^2)+COS(RADIANS($N195))*COS(RADIANS($N194))*(SIN((RADIANS($O194)-RADIANS($O195))/2)^2))))</f>
        <v>1.8505445078264536E-2</v>
      </c>
      <c r="S194" s="6">
        <f t="shared" si="9"/>
        <v>369.33144064319049</v>
      </c>
      <c r="T194">
        <v>16</v>
      </c>
      <c r="U194">
        <v>0</v>
      </c>
      <c r="V194">
        <v>147</v>
      </c>
      <c r="W194">
        <v>19</v>
      </c>
      <c r="X194">
        <v>0</v>
      </c>
      <c r="Y194">
        <v>0</v>
      </c>
      <c r="Z194">
        <v>0</v>
      </c>
      <c r="AA194">
        <v>-189</v>
      </c>
      <c r="AB194">
        <v>-105</v>
      </c>
      <c r="AC194">
        <v>1022</v>
      </c>
      <c r="AD194">
        <v>56.585338499999949</v>
      </c>
      <c r="AE194">
        <v>-6.6384685000000001</v>
      </c>
    </row>
    <row r="195" spans="1:31" x14ac:dyDescent="0.35">
      <c r="A195">
        <v>373489</v>
      </c>
      <c r="B195" s="2">
        <v>45876.959027777775</v>
      </c>
      <c r="C195" s="3">
        <v>45876</v>
      </c>
      <c r="D195" s="4">
        <v>0.95920138888888884</v>
      </c>
      <c r="E195">
        <v>0.95920138888888884</v>
      </c>
      <c r="F195" t="s">
        <v>31</v>
      </c>
      <c r="G195">
        <v>8</v>
      </c>
      <c r="H195">
        <v>4126</v>
      </c>
      <c r="I195">
        <v>96</v>
      </c>
      <c r="J195">
        <v>0</v>
      </c>
      <c r="K195">
        <v>1</v>
      </c>
      <c r="L195">
        <v>0.95902777777519077</v>
      </c>
      <c r="M195">
        <f t="shared" si="10"/>
        <v>6.6666666665696539E-2</v>
      </c>
      <c r="N195" s="5">
        <v>56.585265999999898</v>
      </c>
      <c r="O195">
        <v>-6.6387280000000004</v>
      </c>
      <c r="P195">
        <v>45876.959027777775</v>
      </c>
      <c r="Q195" s="6">
        <v>1.0627911072382963E-2</v>
      </c>
      <c r="R195" s="6">
        <f t="shared" si="11"/>
        <v>1.2786678554946526E-3</v>
      </c>
      <c r="S195" s="6">
        <f t="shared" si="9"/>
        <v>369.33271931104599</v>
      </c>
      <c r="T195">
        <v>15</v>
      </c>
      <c r="U195">
        <v>0</v>
      </c>
      <c r="V195">
        <v>294</v>
      </c>
      <c r="W195">
        <v>17</v>
      </c>
      <c r="X195">
        <v>0</v>
      </c>
      <c r="Y195">
        <v>0</v>
      </c>
      <c r="Z195">
        <v>0</v>
      </c>
      <c r="AA195">
        <v>-262</v>
      </c>
      <c r="AB195">
        <v>-190</v>
      </c>
      <c r="AC195">
        <v>1016</v>
      </c>
      <c r="AD195">
        <v>56.585263999999952</v>
      </c>
      <c r="AE195">
        <v>-6.6387420000000006</v>
      </c>
    </row>
    <row r="196" spans="1:31" x14ac:dyDescent="0.35">
      <c r="A196">
        <v>373489</v>
      </c>
      <c r="B196" s="2">
        <v>45877.174305555556</v>
      </c>
      <c r="C196" s="3">
        <v>45877</v>
      </c>
      <c r="D196" s="4">
        <v>0.17449074074074075</v>
      </c>
      <c r="E196">
        <v>0.17449074074074075</v>
      </c>
      <c r="F196" t="s">
        <v>31</v>
      </c>
      <c r="G196">
        <v>6</v>
      </c>
      <c r="H196">
        <v>4089</v>
      </c>
      <c r="I196">
        <v>90</v>
      </c>
      <c r="J196">
        <v>0</v>
      </c>
      <c r="K196">
        <v>1.5</v>
      </c>
      <c r="L196">
        <v>0.17430555555620231</v>
      </c>
      <c r="M196">
        <f t="shared" si="10"/>
        <v>0.94861111111094942</v>
      </c>
      <c r="N196" s="5">
        <v>56.585258000000003</v>
      </c>
      <c r="O196">
        <v>-6.6387429999999998</v>
      </c>
      <c r="P196">
        <v>45877.174305555556</v>
      </c>
      <c r="Q196" s="6">
        <v>1.0622018962709159E-2</v>
      </c>
      <c r="R196" s="6">
        <f t="shared" si="11"/>
        <v>4.4867913013286256E-2</v>
      </c>
      <c r="S196" s="6">
        <f t="shared" si="9"/>
        <v>369.37758722405925</v>
      </c>
      <c r="T196">
        <v>15</v>
      </c>
      <c r="U196">
        <v>0</v>
      </c>
      <c r="V196">
        <v>0</v>
      </c>
      <c r="W196">
        <v>15</v>
      </c>
      <c r="X196">
        <v>0</v>
      </c>
      <c r="Y196">
        <v>0</v>
      </c>
      <c r="Z196">
        <v>0</v>
      </c>
      <c r="AA196">
        <v>-242</v>
      </c>
      <c r="AB196">
        <v>-474</v>
      </c>
      <c r="AC196">
        <v>909</v>
      </c>
      <c r="AD196">
        <v>56.585264000000002</v>
      </c>
      <c r="AE196">
        <v>-6.6387524999999998</v>
      </c>
    </row>
    <row r="197" spans="1:31" x14ac:dyDescent="0.35">
      <c r="A197">
        <v>373489</v>
      </c>
      <c r="B197" s="2">
        <v>45878.722916666666</v>
      </c>
      <c r="C197" s="3">
        <v>45878</v>
      </c>
      <c r="D197" s="4">
        <v>0.72311342592592598</v>
      </c>
      <c r="E197">
        <v>0.72311342592592598</v>
      </c>
      <c r="F197" t="s">
        <v>31</v>
      </c>
      <c r="G197">
        <v>6</v>
      </c>
      <c r="H197">
        <v>3981</v>
      </c>
      <c r="I197">
        <v>72</v>
      </c>
      <c r="J197">
        <v>0</v>
      </c>
      <c r="K197">
        <v>1.6</v>
      </c>
      <c r="L197">
        <v>0.72291666666569654</v>
      </c>
      <c r="M197">
        <f t="shared" si="10"/>
        <v>1.0416666627861559E-3</v>
      </c>
      <c r="N197" s="5">
        <v>56.584961</v>
      </c>
      <c r="O197">
        <v>-6.6392389999999999</v>
      </c>
      <c r="P197">
        <v>45878.722916666666</v>
      </c>
      <c r="Q197" s="6">
        <v>1.044503602540103E-2</v>
      </c>
      <c r="R197" s="6">
        <f t="shared" si="11"/>
        <v>6.2346514441739338E-2</v>
      </c>
      <c r="S197" s="6">
        <f t="shared" si="9"/>
        <v>369.439933738501</v>
      </c>
      <c r="T197">
        <v>12</v>
      </c>
      <c r="U197">
        <v>0</v>
      </c>
      <c r="V197">
        <v>30</v>
      </c>
      <c r="W197">
        <v>20</v>
      </c>
      <c r="X197">
        <v>0</v>
      </c>
      <c r="Y197">
        <v>0</v>
      </c>
      <c r="Z197">
        <v>0</v>
      </c>
      <c r="AA197">
        <v>-219</v>
      </c>
      <c r="AB197">
        <v>-154</v>
      </c>
      <c r="AC197">
        <v>1020</v>
      </c>
      <c r="AD197">
        <v>56.584945500000003</v>
      </c>
      <c r="AE197">
        <v>-6.6392349999999993</v>
      </c>
    </row>
    <row r="198" spans="1:31" x14ac:dyDescent="0.35">
      <c r="A198">
        <v>373489</v>
      </c>
      <c r="B198" s="2">
        <v>45877.279166666667</v>
      </c>
      <c r="C198" s="3">
        <v>45877</v>
      </c>
      <c r="D198" s="4">
        <v>0.2792013888888889</v>
      </c>
      <c r="E198">
        <v>0.2792013888888889</v>
      </c>
      <c r="F198" t="s">
        <v>31</v>
      </c>
      <c r="G198">
        <v>6</v>
      </c>
      <c r="H198">
        <v>4069</v>
      </c>
      <c r="I198">
        <v>87</v>
      </c>
      <c r="J198">
        <v>0</v>
      </c>
      <c r="K198">
        <v>1.5</v>
      </c>
      <c r="L198">
        <v>0.27916666666715173</v>
      </c>
      <c r="M198">
        <f t="shared" si="10"/>
        <v>0.17465277777955635</v>
      </c>
      <c r="N198" s="5">
        <v>56.585330999999897</v>
      </c>
      <c r="O198">
        <v>-6.6384740000000004</v>
      </c>
      <c r="P198">
        <v>45877.279166666667</v>
      </c>
      <c r="Q198" s="6">
        <v>1.0424147893755606E-2</v>
      </c>
      <c r="R198" s="6">
        <f t="shared" si="11"/>
        <v>181.69678782188248</v>
      </c>
      <c r="S198" s="6">
        <f t="shared" si="9"/>
        <v>551.13672156038342</v>
      </c>
      <c r="T198">
        <v>16</v>
      </c>
      <c r="U198">
        <v>0</v>
      </c>
      <c r="V198">
        <v>246</v>
      </c>
      <c r="W198">
        <v>19</v>
      </c>
      <c r="X198">
        <v>0</v>
      </c>
      <c r="Y198">
        <v>0</v>
      </c>
      <c r="Z198">
        <v>0</v>
      </c>
      <c r="AA198">
        <v>-171</v>
      </c>
      <c r="AB198">
        <v>-251</v>
      </c>
      <c r="AC198">
        <v>1002</v>
      </c>
      <c r="AD198">
        <v>56.58532699999995</v>
      </c>
      <c r="AE198">
        <v>-6.6384635000000003</v>
      </c>
    </row>
    <row r="199" spans="1:31" x14ac:dyDescent="0.35">
      <c r="A199">
        <v>373489</v>
      </c>
      <c r="B199" s="2">
        <v>45879.070138888892</v>
      </c>
      <c r="C199" s="3">
        <v>45879</v>
      </c>
      <c r="D199" s="4">
        <v>7.0347222222222228E-2</v>
      </c>
      <c r="E199">
        <v>7.0347222222222228E-2</v>
      </c>
      <c r="F199" t="s">
        <v>31</v>
      </c>
      <c r="G199">
        <v>8</v>
      </c>
      <c r="H199">
        <v>3936</v>
      </c>
      <c r="I199">
        <v>64</v>
      </c>
      <c r="J199">
        <v>0</v>
      </c>
      <c r="K199">
        <v>1</v>
      </c>
      <c r="L199">
        <v>7.013888889196096E-2</v>
      </c>
      <c r="M199">
        <f t="shared" si="10"/>
        <v>0.24722222222771961</v>
      </c>
      <c r="N199" s="5">
        <v>55.342875999999897</v>
      </c>
      <c r="O199">
        <v>-4.7419549999999999</v>
      </c>
      <c r="P199">
        <v>45879.070138888892</v>
      </c>
      <c r="Q199" s="6">
        <v>1.0398568277333545E-2</v>
      </c>
      <c r="R199" s="6">
        <f t="shared" si="11"/>
        <v>181.68375952292766</v>
      </c>
      <c r="S199" s="6">
        <f t="shared" si="9"/>
        <v>732.82048108331105</v>
      </c>
      <c r="T199">
        <v>144</v>
      </c>
      <c r="U199">
        <v>0</v>
      </c>
      <c r="V199">
        <v>0</v>
      </c>
      <c r="W199">
        <v>16</v>
      </c>
      <c r="X199">
        <v>0</v>
      </c>
      <c r="Y199">
        <v>0</v>
      </c>
      <c r="Z199">
        <v>0</v>
      </c>
      <c r="AA199">
        <v>-193</v>
      </c>
      <c r="AB199">
        <v>-432</v>
      </c>
      <c r="AC199">
        <v>945</v>
      </c>
      <c r="AD199">
        <v>55.342887499999946</v>
      </c>
      <c r="AE199">
        <v>-4.7419735000000003</v>
      </c>
    </row>
    <row r="200" spans="1:31" x14ac:dyDescent="0.35">
      <c r="A200">
        <v>373489</v>
      </c>
      <c r="B200" s="2">
        <v>45877.424305555556</v>
      </c>
      <c r="C200" s="3">
        <v>45877</v>
      </c>
      <c r="D200" s="4">
        <v>0.42450231481481482</v>
      </c>
      <c r="E200">
        <v>0.42450231481481482</v>
      </c>
      <c r="F200" t="s">
        <v>31</v>
      </c>
      <c r="G200">
        <v>6</v>
      </c>
      <c r="H200">
        <v>4044</v>
      </c>
      <c r="I200">
        <v>82</v>
      </c>
      <c r="J200">
        <v>0</v>
      </c>
      <c r="K200">
        <v>1.1000000000000001</v>
      </c>
      <c r="L200">
        <v>0.42430555555620231</v>
      </c>
      <c r="M200">
        <f t="shared" si="10"/>
        <v>0.26111111111094942</v>
      </c>
      <c r="N200" s="5">
        <v>56.585236000000002</v>
      </c>
      <c r="O200">
        <v>-6.6383479999999997</v>
      </c>
      <c r="P200">
        <v>45877.424305555556</v>
      </c>
      <c r="Q200" s="6">
        <v>1.0384257696499685E-2</v>
      </c>
      <c r="R200" s="6">
        <f t="shared" si="11"/>
        <v>2.2364170388949854E-2</v>
      </c>
      <c r="S200" s="6">
        <f t="shared" si="9"/>
        <v>732.84284525370003</v>
      </c>
      <c r="T200">
        <v>19</v>
      </c>
      <c r="U200">
        <v>0</v>
      </c>
      <c r="V200">
        <v>77</v>
      </c>
      <c r="W200">
        <v>19</v>
      </c>
      <c r="X200">
        <v>0</v>
      </c>
      <c r="Y200">
        <v>0</v>
      </c>
      <c r="Z200">
        <v>0</v>
      </c>
      <c r="AA200">
        <v>-207</v>
      </c>
      <c r="AB200">
        <v>114</v>
      </c>
      <c r="AC200">
        <v>1050</v>
      </c>
      <c r="AD200">
        <v>56.585229999999953</v>
      </c>
      <c r="AE200">
        <v>-6.6383390000000002</v>
      </c>
    </row>
    <row r="201" spans="1:31" x14ac:dyDescent="0.35">
      <c r="A201">
        <v>373489</v>
      </c>
      <c r="B201" s="2">
        <v>45877.097916666666</v>
      </c>
      <c r="C201" s="3">
        <v>45877</v>
      </c>
      <c r="D201" s="4">
        <v>9.8113425925925923E-2</v>
      </c>
      <c r="E201">
        <v>9.8113425925925923E-2</v>
      </c>
      <c r="F201" t="s">
        <v>31</v>
      </c>
      <c r="G201">
        <v>5</v>
      </c>
      <c r="H201">
        <v>4109</v>
      </c>
      <c r="I201">
        <v>93</v>
      </c>
      <c r="J201">
        <v>0</v>
      </c>
      <c r="K201">
        <v>1.1000000000000001</v>
      </c>
      <c r="L201">
        <v>9.7916666665696539E-2</v>
      </c>
      <c r="M201">
        <f t="shared" si="10"/>
        <v>0.21944444444670808</v>
      </c>
      <c r="N201" s="5">
        <v>56.585242999999899</v>
      </c>
      <c r="O201">
        <v>-6.6387130000000001</v>
      </c>
      <c r="P201">
        <v>45877.097916666666</v>
      </c>
      <c r="Q201" s="6">
        <v>1.0384255523888341E-2</v>
      </c>
      <c r="R201" s="6">
        <f t="shared" si="11"/>
        <v>2.1456628365048726E-2</v>
      </c>
      <c r="S201" s="6">
        <f t="shared" si="9"/>
        <v>732.86430188206509</v>
      </c>
      <c r="T201">
        <v>21</v>
      </c>
      <c r="U201">
        <v>0</v>
      </c>
      <c r="V201">
        <v>145</v>
      </c>
      <c r="W201">
        <v>17</v>
      </c>
      <c r="X201">
        <v>0</v>
      </c>
      <c r="Y201">
        <v>0</v>
      </c>
      <c r="Z201">
        <v>0</v>
      </c>
      <c r="AA201">
        <v>-142</v>
      </c>
      <c r="AB201">
        <v>-161</v>
      </c>
      <c r="AC201">
        <v>1029</v>
      </c>
      <c r="AD201">
        <v>56.585248999999898</v>
      </c>
      <c r="AE201">
        <v>-6.6387219999999996</v>
      </c>
    </row>
    <row r="202" spans="1:31" x14ac:dyDescent="0.35">
      <c r="A202">
        <v>373489</v>
      </c>
      <c r="B202" s="2">
        <v>45877.34097222222</v>
      </c>
      <c r="C202" s="3">
        <v>45877</v>
      </c>
      <c r="D202" s="4">
        <v>0.34156249999999999</v>
      </c>
      <c r="E202">
        <v>0.34156249999999999</v>
      </c>
      <c r="F202" t="s">
        <v>31</v>
      </c>
      <c r="G202">
        <v>7</v>
      </c>
      <c r="H202">
        <v>4058</v>
      </c>
      <c r="I202">
        <v>85</v>
      </c>
      <c r="J202">
        <v>0</v>
      </c>
      <c r="K202">
        <v>1.1000000000000001</v>
      </c>
      <c r="L202">
        <v>0.34097222222044365</v>
      </c>
      <c r="M202">
        <f t="shared" si="10"/>
        <v>8.0555555556202307E-2</v>
      </c>
      <c r="N202" s="5">
        <v>56.585284999999899</v>
      </c>
      <c r="O202">
        <v>-6.6383710000000002</v>
      </c>
      <c r="P202">
        <v>45877.34097222222</v>
      </c>
      <c r="Q202" s="6">
        <v>1.0287396804397908E-2</v>
      </c>
      <c r="R202" s="6">
        <f t="shared" si="11"/>
        <v>2.4157726547559173E-2</v>
      </c>
      <c r="S202" s="6">
        <f t="shared" si="9"/>
        <v>732.88845960861261</v>
      </c>
      <c r="T202">
        <v>16</v>
      </c>
      <c r="U202">
        <v>0</v>
      </c>
      <c r="V202">
        <v>102</v>
      </c>
      <c r="W202">
        <v>18</v>
      </c>
      <c r="X202">
        <v>0</v>
      </c>
      <c r="Y202">
        <v>0</v>
      </c>
      <c r="Z202">
        <v>0</v>
      </c>
      <c r="AA202">
        <v>-207</v>
      </c>
      <c r="AB202">
        <v>63</v>
      </c>
      <c r="AC202">
        <v>1047</v>
      </c>
      <c r="AD202">
        <v>56.585284999999899</v>
      </c>
      <c r="AE202">
        <v>-6.6383570000000001</v>
      </c>
    </row>
    <row r="203" spans="1:31" x14ac:dyDescent="0.35">
      <c r="A203">
        <v>373489</v>
      </c>
      <c r="B203" s="2">
        <v>45876.820138888892</v>
      </c>
      <c r="C203" s="3">
        <v>45876</v>
      </c>
      <c r="D203" s="4">
        <v>0.82032407407407404</v>
      </c>
      <c r="E203">
        <v>0.82032407407407404</v>
      </c>
      <c r="F203" t="s">
        <v>31</v>
      </c>
      <c r="G203">
        <v>6</v>
      </c>
      <c r="H203">
        <v>4151</v>
      </c>
      <c r="I203">
        <v>100</v>
      </c>
      <c r="J203">
        <v>0</v>
      </c>
      <c r="K203">
        <v>1.3</v>
      </c>
      <c r="L203">
        <v>0.82013888889196096</v>
      </c>
      <c r="M203">
        <f t="shared" si="10"/>
        <v>0.91041666666569654</v>
      </c>
      <c r="N203" s="5">
        <v>56.585265999999898</v>
      </c>
      <c r="O203">
        <v>-6.6387640000000001</v>
      </c>
      <c r="P203">
        <v>45876.820138888892</v>
      </c>
      <c r="Q203" s="6">
        <v>1.0272689515359331E-2</v>
      </c>
      <c r="R203" s="6">
        <f t="shared" si="11"/>
        <v>1.5941681033819612E-3</v>
      </c>
      <c r="S203" s="6">
        <f t="shared" si="9"/>
        <v>732.89005377671594</v>
      </c>
      <c r="T203">
        <v>11</v>
      </c>
      <c r="U203">
        <v>0</v>
      </c>
      <c r="V203">
        <v>0</v>
      </c>
      <c r="W203">
        <v>18</v>
      </c>
      <c r="X203">
        <v>0</v>
      </c>
      <c r="Y203">
        <v>0</v>
      </c>
      <c r="Z203">
        <v>0</v>
      </c>
      <c r="AA203">
        <v>-222</v>
      </c>
      <c r="AB203">
        <v>-162</v>
      </c>
      <c r="AC203">
        <v>1010</v>
      </c>
      <c r="AD203">
        <v>56.585263999999952</v>
      </c>
      <c r="AE203">
        <v>-6.6387774999999998</v>
      </c>
    </row>
    <row r="204" spans="1:31" x14ac:dyDescent="0.35">
      <c r="A204">
        <v>373489</v>
      </c>
      <c r="B204" s="2">
        <v>45877.000694444447</v>
      </c>
      <c r="C204" s="3">
        <v>45877</v>
      </c>
      <c r="D204" s="4">
        <v>8.6805555555555551E-4</v>
      </c>
      <c r="E204">
        <v>8.6805555555555551E-4</v>
      </c>
      <c r="F204" t="s">
        <v>31</v>
      </c>
      <c r="G204">
        <v>6</v>
      </c>
      <c r="H204">
        <v>4120</v>
      </c>
      <c r="I204">
        <v>95</v>
      </c>
      <c r="J204">
        <v>0</v>
      </c>
      <c r="K204">
        <v>1.4</v>
      </c>
      <c r="L204">
        <v>6.944444467080757E-4</v>
      </c>
      <c r="M204">
        <f t="shared" si="10"/>
        <v>5.6250000001455192E-2</v>
      </c>
      <c r="N204" s="5">
        <v>56.585262</v>
      </c>
      <c r="O204">
        <v>-6.6387390000000002</v>
      </c>
      <c r="P204">
        <v>45877.000694444447</v>
      </c>
      <c r="Q204" s="6">
        <v>1.0128655200541939E-2</v>
      </c>
      <c r="R204" s="6">
        <f t="shared" si="11"/>
        <v>182.80171416446268</v>
      </c>
      <c r="S204" s="6">
        <f t="shared" si="9"/>
        <v>915.69176794117857</v>
      </c>
      <c r="T204">
        <v>16</v>
      </c>
      <c r="U204">
        <v>0</v>
      </c>
      <c r="V204">
        <v>0</v>
      </c>
      <c r="W204">
        <v>16</v>
      </c>
      <c r="X204">
        <v>0</v>
      </c>
      <c r="Y204">
        <v>0</v>
      </c>
      <c r="Z204">
        <v>0</v>
      </c>
      <c r="AA204">
        <v>-131</v>
      </c>
      <c r="AB204">
        <v>-53</v>
      </c>
      <c r="AC204">
        <v>1062</v>
      </c>
      <c r="AD204">
        <v>56.5852565</v>
      </c>
      <c r="AE204">
        <v>-6.6387295000000002</v>
      </c>
    </row>
    <row r="205" spans="1:31" x14ac:dyDescent="0.35">
      <c r="A205">
        <v>373489</v>
      </c>
      <c r="B205" s="2">
        <v>45879.111805555556</v>
      </c>
      <c r="C205" s="3">
        <v>45879</v>
      </c>
      <c r="D205" s="4">
        <v>0.11199074074074074</v>
      </c>
      <c r="E205">
        <v>0.11199074074074074</v>
      </c>
      <c r="F205" t="s">
        <v>31</v>
      </c>
      <c r="G205">
        <v>7</v>
      </c>
      <c r="H205">
        <v>3938</v>
      </c>
      <c r="I205">
        <v>65</v>
      </c>
      <c r="J205">
        <v>0</v>
      </c>
      <c r="K205">
        <v>1.7</v>
      </c>
      <c r="L205">
        <v>0.11180555555620231</v>
      </c>
      <c r="M205">
        <f t="shared" si="10"/>
        <v>0.43819444444670808</v>
      </c>
      <c r="N205" s="5">
        <v>55.293551999999899</v>
      </c>
      <c r="O205">
        <v>-4.8226800000000001</v>
      </c>
      <c r="P205">
        <v>45879.111805555556</v>
      </c>
      <c r="Q205" s="6">
        <v>1.0036340092143102E-2</v>
      </c>
      <c r="R205" s="6">
        <f t="shared" si="11"/>
        <v>182.77177065772494</v>
      </c>
      <c r="S205" s="6">
        <f t="shared" si="9"/>
        <v>1098.4635385989036</v>
      </c>
      <c r="T205">
        <v>39</v>
      </c>
      <c r="U205">
        <v>0</v>
      </c>
      <c r="V205">
        <v>0</v>
      </c>
      <c r="W205">
        <v>18</v>
      </c>
      <c r="X205">
        <v>0</v>
      </c>
      <c r="Y205">
        <v>0</v>
      </c>
      <c r="Z205">
        <v>0</v>
      </c>
      <c r="AA205">
        <v>-323</v>
      </c>
      <c r="AB205">
        <v>-99</v>
      </c>
      <c r="AC205">
        <v>1006</v>
      </c>
      <c r="AD205">
        <v>55.293536999999951</v>
      </c>
      <c r="AE205">
        <v>-4.8226820000000004</v>
      </c>
    </row>
    <row r="206" spans="1:31" x14ac:dyDescent="0.35">
      <c r="A206">
        <v>373489</v>
      </c>
      <c r="B206" s="2">
        <v>45877.76458333333</v>
      </c>
      <c r="C206" s="3">
        <v>45877</v>
      </c>
      <c r="D206" s="4">
        <v>0.76476851851851857</v>
      </c>
      <c r="E206">
        <v>0.76476851851851857</v>
      </c>
      <c r="F206" t="s">
        <v>31</v>
      </c>
      <c r="G206">
        <v>7</v>
      </c>
      <c r="H206">
        <v>4001</v>
      </c>
      <c r="I206">
        <v>75</v>
      </c>
      <c r="J206">
        <v>0</v>
      </c>
      <c r="K206">
        <v>1.2</v>
      </c>
      <c r="L206">
        <v>0.76458333332993789</v>
      </c>
      <c r="M206">
        <f t="shared" si="10"/>
        <v>0.24027777777519077</v>
      </c>
      <c r="N206" s="5">
        <v>56.585121000000001</v>
      </c>
      <c r="O206">
        <v>-6.6382779999999997</v>
      </c>
      <c r="P206">
        <v>45877.76458333333</v>
      </c>
      <c r="Q206" s="6">
        <v>1.0022706780671978E-2</v>
      </c>
      <c r="R206" s="6">
        <f t="shared" si="11"/>
        <v>2.7653409030403159E-2</v>
      </c>
      <c r="S206" s="6">
        <f t="shared" si="9"/>
        <v>1098.4911920079339</v>
      </c>
      <c r="T206">
        <v>9</v>
      </c>
      <c r="U206">
        <v>0</v>
      </c>
      <c r="V206">
        <v>0</v>
      </c>
      <c r="W206">
        <v>20</v>
      </c>
      <c r="X206">
        <v>0</v>
      </c>
      <c r="Y206">
        <v>0</v>
      </c>
      <c r="Z206">
        <v>0</v>
      </c>
      <c r="AA206">
        <v>-266</v>
      </c>
      <c r="AB206">
        <v>-152</v>
      </c>
      <c r="AC206">
        <v>1018</v>
      </c>
      <c r="AD206">
        <v>56.585105999999953</v>
      </c>
      <c r="AE206">
        <v>-6.6382764999999999</v>
      </c>
    </row>
    <row r="207" spans="1:31" x14ac:dyDescent="0.35">
      <c r="A207">
        <v>373489</v>
      </c>
      <c r="B207" s="2">
        <v>45876.71597222222</v>
      </c>
      <c r="C207" s="3">
        <v>45876</v>
      </c>
      <c r="D207" s="4">
        <v>0.71616898148148145</v>
      </c>
      <c r="E207">
        <v>0.71616898148148145</v>
      </c>
      <c r="F207" t="s">
        <v>31</v>
      </c>
      <c r="G207">
        <v>6</v>
      </c>
      <c r="H207">
        <v>4169</v>
      </c>
      <c r="I207">
        <v>100</v>
      </c>
      <c r="J207">
        <v>0</v>
      </c>
      <c r="K207">
        <v>1.4</v>
      </c>
      <c r="L207">
        <v>0.71597222222044365</v>
      </c>
      <c r="M207">
        <f t="shared" si="10"/>
        <v>0.99027777777519077</v>
      </c>
      <c r="N207" s="5">
        <v>56.585262</v>
      </c>
      <c r="O207">
        <v>-6.6386500000000002</v>
      </c>
      <c r="P207">
        <v>45876.71597222222</v>
      </c>
      <c r="Q207" s="6">
        <v>9.9199958115363373E-3</v>
      </c>
      <c r="R207" s="6">
        <f t="shared" si="11"/>
        <v>1.5405585543148317E-2</v>
      </c>
      <c r="S207" s="6">
        <f t="shared" si="9"/>
        <v>1098.5065975934772</v>
      </c>
      <c r="T207">
        <v>16</v>
      </c>
      <c r="U207">
        <v>0</v>
      </c>
      <c r="V207">
        <v>0</v>
      </c>
      <c r="W207">
        <v>20</v>
      </c>
      <c r="X207">
        <v>0</v>
      </c>
      <c r="Y207">
        <v>0</v>
      </c>
      <c r="Z207">
        <v>0</v>
      </c>
      <c r="AA207">
        <v>-150</v>
      </c>
      <c r="AB207">
        <v>-123</v>
      </c>
      <c r="AC207">
        <v>1024</v>
      </c>
      <c r="AD207">
        <v>56.585262</v>
      </c>
      <c r="AE207">
        <v>-6.6386365000000005</v>
      </c>
    </row>
    <row r="208" spans="1:31" x14ac:dyDescent="0.35">
      <c r="A208">
        <v>373489</v>
      </c>
      <c r="B208" s="2">
        <v>45877.26458333333</v>
      </c>
      <c r="C208" s="3">
        <v>45877</v>
      </c>
      <c r="D208" s="4">
        <v>0.26479166666666665</v>
      </c>
      <c r="E208">
        <v>0.26479166666666665</v>
      </c>
      <c r="F208" t="s">
        <v>31</v>
      </c>
      <c r="G208">
        <v>4</v>
      </c>
      <c r="H208">
        <v>4078</v>
      </c>
      <c r="I208">
        <v>88</v>
      </c>
      <c r="J208">
        <v>0</v>
      </c>
      <c r="K208">
        <v>1.6</v>
      </c>
      <c r="L208">
        <v>0.26458333332993789</v>
      </c>
      <c r="M208">
        <f t="shared" si="10"/>
        <v>0.445138888884685</v>
      </c>
      <c r="N208" s="5">
        <v>56.585360999999899</v>
      </c>
      <c r="O208">
        <v>-6.6384740000000004</v>
      </c>
      <c r="P208">
        <v>45877.26458333333</v>
      </c>
      <c r="Q208" s="6">
        <v>9.8116309398515907E-3</v>
      </c>
      <c r="R208" s="6">
        <f t="shared" si="11"/>
        <v>3.3385689471296755E-2</v>
      </c>
      <c r="S208" s="6">
        <f t="shared" si="9"/>
        <v>1098.5399832829485</v>
      </c>
      <c r="T208">
        <v>20</v>
      </c>
      <c r="U208">
        <v>0</v>
      </c>
      <c r="V208">
        <v>0</v>
      </c>
      <c r="W208">
        <v>18</v>
      </c>
      <c r="X208">
        <v>0</v>
      </c>
      <c r="Y208">
        <v>0</v>
      </c>
      <c r="Z208">
        <v>0</v>
      </c>
      <c r="AA208">
        <v>-122</v>
      </c>
      <c r="AB208">
        <v>-99</v>
      </c>
      <c r="AC208">
        <v>1047</v>
      </c>
      <c r="AD208">
        <v>56.585353499999954</v>
      </c>
      <c r="AE208">
        <v>-6.6384685000000001</v>
      </c>
    </row>
    <row r="209" spans="1:31" x14ac:dyDescent="0.35">
      <c r="A209">
        <v>373489</v>
      </c>
      <c r="B209" s="2">
        <v>45877.625694444447</v>
      </c>
      <c r="C209" s="3">
        <v>45877</v>
      </c>
      <c r="D209" s="4">
        <v>0.62586805555555558</v>
      </c>
      <c r="E209">
        <v>0.62586805555555558</v>
      </c>
      <c r="F209" t="s">
        <v>31</v>
      </c>
      <c r="G209">
        <v>6</v>
      </c>
      <c r="H209">
        <v>4009</v>
      </c>
      <c r="I209">
        <v>77</v>
      </c>
      <c r="J209">
        <v>0</v>
      </c>
      <c r="K209">
        <v>1.4</v>
      </c>
      <c r="L209">
        <v>0.62569444444670808</v>
      </c>
      <c r="M209">
        <f t="shared" si="10"/>
        <v>0.15347222222771961</v>
      </c>
      <c r="N209" s="5">
        <v>56.585135999999899</v>
      </c>
      <c r="O209">
        <v>-6.6381129999999997</v>
      </c>
      <c r="P209">
        <v>45877.625694444447</v>
      </c>
      <c r="Q209" s="6">
        <v>9.7600512678356396E-3</v>
      </c>
      <c r="R209" s="6">
        <f t="shared" si="11"/>
        <v>3.2837702060418805E-2</v>
      </c>
      <c r="S209" s="6">
        <f t="shared" si="9"/>
        <v>1098.5728209850088</v>
      </c>
      <c r="T209">
        <v>23</v>
      </c>
      <c r="U209">
        <v>0</v>
      </c>
      <c r="V209">
        <v>210</v>
      </c>
      <c r="W209">
        <v>22</v>
      </c>
      <c r="X209">
        <v>0</v>
      </c>
      <c r="Y209">
        <v>0</v>
      </c>
      <c r="Z209">
        <v>0</v>
      </c>
      <c r="AA209">
        <v>-213</v>
      </c>
      <c r="AB209">
        <v>-177</v>
      </c>
      <c r="AC209">
        <v>1024</v>
      </c>
      <c r="AD209">
        <v>56.585134499999896</v>
      </c>
      <c r="AE209">
        <v>-6.6381259999999997</v>
      </c>
    </row>
    <row r="210" spans="1:31" x14ac:dyDescent="0.35">
      <c r="A210">
        <v>373489</v>
      </c>
      <c r="B210" s="2">
        <v>45876.681250000001</v>
      </c>
      <c r="C210" s="3">
        <v>45876</v>
      </c>
      <c r="D210" s="4">
        <v>0.68145833333333339</v>
      </c>
      <c r="E210">
        <v>0.68145833333333339</v>
      </c>
      <c r="F210" t="s">
        <v>31</v>
      </c>
      <c r="G210">
        <v>7</v>
      </c>
      <c r="H210">
        <v>4171</v>
      </c>
      <c r="I210">
        <v>100</v>
      </c>
      <c r="J210">
        <v>0</v>
      </c>
      <c r="K210">
        <v>1</v>
      </c>
      <c r="L210">
        <v>0.68125000000145519</v>
      </c>
      <c r="M210">
        <f t="shared" si="10"/>
        <v>4.5833333337213844E-2</v>
      </c>
      <c r="N210" s="5">
        <v>56.585262</v>
      </c>
      <c r="O210">
        <v>-6.638598</v>
      </c>
      <c r="P210">
        <v>45876.681250000001</v>
      </c>
      <c r="Q210" s="6">
        <v>9.7195113644754621E-3</v>
      </c>
      <c r="R210" s="6">
        <f t="shared" si="11"/>
        <v>9.509114623942036E-3</v>
      </c>
      <c r="S210" s="6">
        <f t="shared" si="9"/>
        <v>1098.5823300996328</v>
      </c>
      <c r="T210">
        <v>11</v>
      </c>
      <c r="U210">
        <v>0</v>
      </c>
      <c r="V210">
        <v>352</v>
      </c>
      <c r="W210">
        <v>24</v>
      </c>
      <c r="X210">
        <v>0</v>
      </c>
      <c r="Y210">
        <v>0</v>
      </c>
      <c r="Z210">
        <v>0</v>
      </c>
      <c r="AA210">
        <v>-255</v>
      </c>
      <c r="AB210">
        <v>-164</v>
      </c>
      <c r="AC210">
        <v>1022</v>
      </c>
      <c r="AD210">
        <v>56.585267999999949</v>
      </c>
      <c r="AE210">
        <v>-6.6386055000000006</v>
      </c>
    </row>
    <row r="211" spans="1:31" x14ac:dyDescent="0.35">
      <c r="A211">
        <v>373489</v>
      </c>
      <c r="B211" s="2">
        <v>45877.410416666666</v>
      </c>
      <c r="C211" s="3">
        <v>45877</v>
      </c>
      <c r="D211" s="4">
        <v>0.41062500000000002</v>
      </c>
      <c r="E211">
        <v>0.41062500000000002</v>
      </c>
      <c r="F211" t="s">
        <v>31</v>
      </c>
      <c r="G211">
        <v>5</v>
      </c>
      <c r="H211">
        <v>4055</v>
      </c>
      <c r="I211">
        <v>84</v>
      </c>
      <c r="J211">
        <v>0</v>
      </c>
      <c r="K211">
        <v>1.3</v>
      </c>
      <c r="L211">
        <v>0.41041666666569654</v>
      </c>
      <c r="M211">
        <f t="shared" si="10"/>
        <v>0.10833333333721384</v>
      </c>
      <c r="N211" s="5">
        <v>56.585251</v>
      </c>
      <c r="O211">
        <v>-6.6384439999999998</v>
      </c>
      <c r="P211">
        <v>45877.410416666666</v>
      </c>
      <c r="Q211" s="6">
        <v>9.6617409434790746E-3</v>
      </c>
      <c r="R211" s="6">
        <f t="shared" si="11"/>
        <v>6.1353196306081395E-2</v>
      </c>
      <c r="S211" s="6">
        <f t="shared" si="9"/>
        <v>1098.6436832959389</v>
      </c>
      <c r="T211">
        <v>18</v>
      </c>
      <c r="U211">
        <v>1</v>
      </c>
      <c r="V211">
        <v>254</v>
      </c>
      <c r="W211">
        <v>19</v>
      </c>
      <c r="X211">
        <v>0</v>
      </c>
      <c r="Y211">
        <v>0</v>
      </c>
      <c r="Z211">
        <v>0</v>
      </c>
      <c r="AA211">
        <v>-198</v>
      </c>
      <c r="AB211">
        <v>-146</v>
      </c>
      <c r="AC211">
        <v>1032</v>
      </c>
      <c r="AD211">
        <v>56.585249000000005</v>
      </c>
      <c r="AE211">
        <v>-6.6384299999999996</v>
      </c>
    </row>
    <row r="212" spans="1:31" x14ac:dyDescent="0.35">
      <c r="A212">
        <v>373489</v>
      </c>
      <c r="B212" s="2">
        <v>45878.806250000001</v>
      </c>
      <c r="C212" s="3">
        <v>45878</v>
      </c>
      <c r="D212" s="4">
        <v>0.80645833333333339</v>
      </c>
      <c r="E212">
        <v>0.80645833333333339</v>
      </c>
      <c r="F212" t="s">
        <v>31</v>
      </c>
      <c r="G212">
        <v>6</v>
      </c>
      <c r="H212">
        <v>3973</v>
      </c>
      <c r="I212">
        <v>71</v>
      </c>
      <c r="J212">
        <v>0</v>
      </c>
      <c r="K212">
        <v>1.3</v>
      </c>
      <c r="L212">
        <v>0.80625000000145519</v>
      </c>
      <c r="M212">
        <f t="shared" si="10"/>
        <v>0.69895833333430346</v>
      </c>
      <c r="N212" s="5">
        <v>56.584927</v>
      </c>
      <c r="O212">
        <v>-6.6392550000000004</v>
      </c>
      <c r="P212">
        <v>45878.806250000001</v>
      </c>
      <c r="Q212" s="6">
        <v>9.6476396476173915E-3</v>
      </c>
      <c r="R212" s="6">
        <f t="shared" si="11"/>
        <v>1.6679238885802805E-3</v>
      </c>
      <c r="S212" s="6">
        <f t="shared" si="9"/>
        <v>1098.6453512198275</v>
      </c>
      <c r="T212">
        <v>2</v>
      </c>
      <c r="U212">
        <v>1</v>
      </c>
      <c r="V212">
        <v>244</v>
      </c>
      <c r="W212">
        <v>19</v>
      </c>
      <c r="X212">
        <v>0</v>
      </c>
      <c r="Y212">
        <v>0</v>
      </c>
      <c r="Z212">
        <v>0</v>
      </c>
      <c r="AA212">
        <v>-171</v>
      </c>
      <c r="AB212">
        <v>-215</v>
      </c>
      <c r="AC212">
        <v>1020</v>
      </c>
      <c r="AD212">
        <v>56.584939999999946</v>
      </c>
      <c r="AE212">
        <v>-6.6392435000000001</v>
      </c>
    </row>
    <row r="213" spans="1:31" x14ac:dyDescent="0.35">
      <c r="A213">
        <v>373489</v>
      </c>
      <c r="B213" s="2">
        <v>45878.591666666667</v>
      </c>
      <c r="C213" s="3">
        <v>45878</v>
      </c>
      <c r="D213" s="4">
        <v>0.59172453703703709</v>
      </c>
      <c r="E213">
        <v>0.59172453703703709</v>
      </c>
      <c r="F213" t="s">
        <v>31</v>
      </c>
      <c r="G213">
        <v>7</v>
      </c>
      <c r="H213">
        <v>3992</v>
      </c>
      <c r="I213">
        <v>74</v>
      </c>
      <c r="J213">
        <v>0</v>
      </c>
      <c r="K213">
        <v>1.9</v>
      </c>
      <c r="L213">
        <v>0.59166666666715173</v>
      </c>
      <c r="M213">
        <f t="shared" si="10"/>
        <v>0.93854166666278616</v>
      </c>
      <c r="N213" s="5">
        <v>56.584941999999899</v>
      </c>
      <c r="O213">
        <v>-6.6392550000000004</v>
      </c>
      <c r="P213">
        <v>45878.591666666667</v>
      </c>
      <c r="Q213" s="6">
        <v>9.624481047208578E-3</v>
      </c>
      <c r="R213" s="6">
        <f t="shared" si="11"/>
        <v>6.4858573589170257E-2</v>
      </c>
      <c r="S213" s="6">
        <f t="shared" si="9"/>
        <v>1098.7102097934167</v>
      </c>
      <c r="T213">
        <v>9</v>
      </c>
      <c r="U213">
        <v>1</v>
      </c>
      <c r="V213">
        <v>98</v>
      </c>
      <c r="W213">
        <v>27</v>
      </c>
      <c r="X213">
        <v>0</v>
      </c>
      <c r="Y213">
        <v>0</v>
      </c>
      <c r="Z213">
        <v>0</v>
      </c>
      <c r="AA213">
        <v>-265</v>
      </c>
      <c r="AB213">
        <v>-167</v>
      </c>
      <c r="AC213">
        <v>1016</v>
      </c>
      <c r="AD213">
        <v>56.584935999999949</v>
      </c>
      <c r="AE213">
        <v>-6.6392594999999996</v>
      </c>
    </row>
    <row r="214" spans="1:31" x14ac:dyDescent="0.35">
      <c r="A214">
        <v>373489</v>
      </c>
      <c r="B214" s="2">
        <v>45877.285416666666</v>
      </c>
      <c r="C214" s="3">
        <v>45877</v>
      </c>
      <c r="D214" s="4">
        <v>0.28562500000000002</v>
      </c>
      <c r="E214">
        <v>0.28562500000000002</v>
      </c>
      <c r="F214" t="s">
        <v>31</v>
      </c>
      <c r="G214">
        <v>6</v>
      </c>
      <c r="H214">
        <v>4066</v>
      </c>
      <c r="I214">
        <v>86</v>
      </c>
      <c r="J214">
        <v>0</v>
      </c>
      <c r="K214">
        <v>1.4</v>
      </c>
      <c r="L214">
        <v>0.28541666666569654</v>
      </c>
      <c r="M214">
        <f t="shared" si="10"/>
        <v>0.53194444444670808</v>
      </c>
      <c r="N214" s="5">
        <v>56.585323000000002</v>
      </c>
      <c r="O214">
        <v>-6.6384530000000002</v>
      </c>
      <c r="P214">
        <v>45877.285416666666</v>
      </c>
      <c r="Q214" s="6">
        <v>9.5525731437254534E-3</v>
      </c>
      <c r="R214" s="6">
        <f t="shared" si="11"/>
        <v>2.8005384784297663E-2</v>
      </c>
      <c r="S214" s="6">
        <f t="shared" si="9"/>
        <v>1098.738215178201</v>
      </c>
      <c r="T214">
        <v>22</v>
      </c>
      <c r="U214">
        <v>0</v>
      </c>
      <c r="V214">
        <v>131</v>
      </c>
      <c r="W214">
        <v>18</v>
      </c>
      <c r="X214">
        <v>0</v>
      </c>
      <c r="Y214">
        <v>0</v>
      </c>
      <c r="Z214">
        <v>0</v>
      </c>
      <c r="AA214">
        <v>-307</v>
      </c>
      <c r="AB214">
        <v>-393</v>
      </c>
      <c r="AC214">
        <v>927</v>
      </c>
      <c r="AD214">
        <v>56.585323000000002</v>
      </c>
      <c r="AE214">
        <v>-6.6384660000000002</v>
      </c>
    </row>
    <row r="215" spans="1:31" x14ac:dyDescent="0.35">
      <c r="A215">
        <v>373489</v>
      </c>
      <c r="B215" s="2">
        <v>45877.77847222222</v>
      </c>
      <c r="C215" s="3">
        <v>45877</v>
      </c>
      <c r="D215" s="4">
        <v>0.7786805555555556</v>
      </c>
      <c r="E215">
        <v>0.7786805555555556</v>
      </c>
      <c r="F215" t="s">
        <v>31</v>
      </c>
      <c r="G215">
        <v>7</v>
      </c>
      <c r="H215">
        <v>4001</v>
      </c>
      <c r="I215">
        <v>75</v>
      </c>
      <c r="J215">
        <v>0</v>
      </c>
      <c r="K215">
        <v>1.2</v>
      </c>
      <c r="L215">
        <v>0.77847222222044365</v>
      </c>
      <c r="M215">
        <f t="shared" si="10"/>
        <v>4.5833333337213844E-2</v>
      </c>
      <c r="N215" s="5">
        <v>56.585090999999899</v>
      </c>
      <c r="O215">
        <v>-6.6382750000000001</v>
      </c>
      <c r="P215">
        <v>45877.77847222222</v>
      </c>
      <c r="Q215" s="6">
        <v>9.1601399403045108E-3</v>
      </c>
      <c r="R215" s="6">
        <f t="shared" si="11"/>
        <v>8.3339607614030933E-2</v>
      </c>
      <c r="S215" s="6">
        <f t="shared" si="9"/>
        <v>1098.8215547858151</v>
      </c>
      <c r="T215">
        <v>13</v>
      </c>
      <c r="U215">
        <v>0</v>
      </c>
      <c r="V215">
        <v>166</v>
      </c>
      <c r="W215">
        <v>20</v>
      </c>
      <c r="X215">
        <v>0</v>
      </c>
      <c r="Y215">
        <v>0</v>
      </c>
      <c r="Z215">
        <v>0</v>
      </c>
      <c r="AA215">
        <v>-235</v>
      </c>
      <c r="AB215">
        <v>-141</v>
      </c>
      <c r="AC215">
        <v>1023</v>
      </c>
      <c r="AD215">
        <v>56.585100499999953</v>
      </c>
      <c r="AE215">
        <v>-6.638293</v>
      </c>
    </row>
    <row r="216" spans="1:31" x14ac:dyDescent="0.35">
      <c r="A216">
        <v>373489</v>
      </c>
      <c r="B216" s="2">
        <v>45878.313194444447</v>
      </c>
      <c r="C216" s="3">
        <v>45878</v>
      </c>
      <c r="D216" s="4">
        <v>0.31337962962962962</v>
      </c>
      <c r="E216">
        <v>0.31337962962962962</v>
      </c>
      <c r="F216" t="s">
        <v>31</v>
      </c>
      <c r="G216">
        <v>8</v>
      </c>
      <c r="H216">
        <v>3964</v>
      </c>
      <c r="I216">
        <v>69</v>
      </c>
      <c r="J216">
        <v>0</v>
      </c>
      <c r="K216">
        <v>1.6</v>
      </c>
      <c r="L216">
        <v>0.31319444444670808</v>
      </c>
      <c r="M216">
        <f t="shared" si="10"/>
        <v>0.46944444444670808</v>
      </c>
      <c r="N216" s="5">
        <v>56.584437999999899</v>
      </c>
      <c r="O216">
        <v>-6.6389430000000003</v>
      </c>
      <c r="P216">
        <v>45878.313194444447</v>
      </c>
      <c r="Q216" s="6">
        <v>9.0426197036886924E-3</v>
      </c>
      <c r="R216" s="6">
        <f t="shared" si="11"/>
        <v>5.8553893129930999E-2</v>
      </c>
      <c r="S216" s="6">
        <f t="shared" si="9"/>
        <v>1098.8801086789451</v>
      </c>
      <c r="T216">
        <v>17</v>
      </c>
      <c r="U216">
        <v>0</v>
      </c>
      <c r="V216">
        <v>269</v>
      </c>
      <c r="W216">
        <v>20</v>
      </c>
      <c r="X216">
        <v>0</v>
      </c>
      <c r="Y216">
        <v>0</v>
      </c>
      <c r="Z216">
        <v>0</v>
      </c>
      <c r="AA216">
        <v>-171</v>
      </c>
      <c r="AB216">
        <v>-63</v>
      </c>
      <c r="AC216">
        <v>1070</v>
      </c>
      <c r="AD216">
        <v>56.584430499999954</v>
      </c>
      <c r="AE216">
        <v>-6.6389635</v>
      </c>
    </row>
    <row r="217" spans="1:31" x14ac:dyDescent="0.35">
      <c r="A217">
        <v>373489</v>
      </c>
      <c r="B217" s="2">
        <v>45878.625694444447</v>
      </c>
      <c r="C217" s="3">
        <v>45878</v>
      </c>
      <c r="D217" s="4">
        <v>0.6262847222222222</v>
      </c>
      <c r="E217">
        <v>0.6262847222222222</v>
      </c>
      <c r="F217" t="s">
        <v>31</v>
      </c>
      <c r="G217">
        <v>5</v>
      </c>
      <c r="H217">
        <v>3995</v>
      </c>
      <c r="I217">
        <v>74</v>
      </c>
      <c r="J217">
        <v>0</v>
      </c>
      <c r="K217">
        <v>1.6</v>
      </c>
      <c r="L217">
        <v>0.62569444444670808</v>
      </c>
      <c r="M217">
        <f t="shared" si="10"/>
        <v>0.91041666666569654</v>
      </c>
      <c r="N217" s="5">
        <v>56.584938000000001</v>
      </c>
      <c r="O217">
        <v>-6.6392429999999996</v>
      </c>
      <c r="P217">
        <v>45878.625694444447</v>
      </c>
      <c r="Q217" s="6">
        <v>8.8900995921073981E-3</v>
      </c>
      <c r="R217" s="6">
        <f t="shared" si="11"/>
        <v>182.79863386441531</v>
      </c>
      <c r="S217" s="6">
        <f t="shared" si="9"/>
        <v>1281.6787425433604</v>
      </c>
      <c r="T217">
        <v>13</v>
      </c>
      <c r="U217">
        <v>0</v>
      </c>
      <c r="V217">
        <v>124</v>
      </c>
      <c r="W217">
        <v>26</v>
      </c>
      <c r="X217">
        <v>0</v>
      </c>
      <c r="Y217">
        <v>0</v>
      </c>
      <c r="Z217">
        <v>0</v>
      </c>
      <c r="AA217">
        <v>-219</v>
      </c>
      <c r="AB217">
        <v>43</v>
      </c>
      <c r="AC217">
        <v>1058</v>
      </c>
      <c r="AD217">
        <v>56.584945499999947</v>
      </c>
      <c r="AE217">
        <v>-6.6392229999999994</v>
      </c>
    </row>
    <row r="218" spans="1:31" x14ac:dyDescent="0.35">
      <c r="A218">
        <v>373489</v>
      </c>
      <c r="B218" s="2">
        <v>45879.195138888892</v>
      </c>
      <c r="C218" s="3">
        <v>45879</v>
      </c>
      <c r="D218" s="4">
        <v>0.1953125</v>
      </c>
      <c r="E218">
        <v>0.1953125</v>
      </c>
      <c r="F218" t="s">
        <v>31</v>
      </c>
      <c r="G218">
        <v>7</v>
      </c>
      <c r="H218">
        <v>3936</v>
      </c>
      <c r="I218">
        <v>64</v>
      </c>
      <c r="J218">
        <v>0</v>
      </c>
      <c r="K218">
        <v>1</v>
      </c>
      <c r="L218">
        <v>0.19513888889196096</v>
      </c>
      <c r="M218">
        <f t="shared" si="10"/>
        <v>8.4027777775190771E-2</v>
      </c>
      <c r="N218" s="5">
        <v>55.293506999999899</v>
      </c>
      <c r="O218">
        <v>-4.8226399999999998</v>
      </c>
      <c r="P218">
        <v>45879.195138888892</v>
      </c>
      <c r="Q218" s="6">
        <v>8.8400532476037436E-3</v>
      </c>
      <c r="R218" s="6">
        <f t="shared" si="11"/>
        <v>182.80838073485822</v>
      </c>
      <c r="S218" s="6">
        <f t="shared" si="9"/>
        <v>1464.4871232782186</v>
      </c>
      <c r="T218">
        <v>29</v>
      </c>
      <c r="U218">
        <v>0</v>
      </c>
      <c r="V218">
        <v>0</v>
      </c>
      <c r="W218">
        <v>21</v>
      </c>
      <c r="X218">
        <v>0</v>
      </c>
      <c r="Y218">
        <v>0</v>
      </c>
      <c r="Z218">
        <v>0</v>
      </c>
      <c r="AA218">
        <v>-246</v>
      </c>
      <c r="AB218">
        <v>-88</v>
      </c>
      <c r="AC218">
        <v>1023</v>
      </c>
      <c r="AD218">
        <v>55.293519999999901</v>
      </c>
      <c r="AE218">
        <v>-4.8226445</v>
      </c>
    </row>
    <row r="219" spans="1:31" x14ac:dyDescent="0.35">
      <c r="A219">
        <v>373489</v>
      </c>
      <c r="B219" s="2">
        <v>45876.972916666666</v>
      </c>
      <c r="C219" s="3">
        <v>45876</v>
      </c>
      <c r="D219" s="4">
        <v>0.97310185185185183</v>
      </c>
      <c r="E219">
        <v>0.97310185185185183</v>
      </c>
      <c r="F219" t="s">
        <v>31</v>
      </c>
      <c r="G219">
        <v>7</v>
      </c>
      <c r="H219">
        <v>4123</v>
      </c>
      <c r="I219">
        <v>96</v>
      </c>
      <c r="J219">
        <v>0</v>
      </c>
      <c r="K219">
        <v>1.2</v>
      </c>
      <c r="L219">
        <v>0.97291666666569654</v>
      </c>
      <c r="M219">
        <f t="shared" si="10"/>
        <v>3.8888888884685002E-2</v>
      </c>
      <c r="N219" s="5">
        <v>56.585265999999898</v>
      </c>
      <c r="O219">
        <v>-6.6387600000000004</v>
      </c>
      <c r="P219">
        <v>45876.972916666666</v>
      </c>
      <c r="Q219" s="6">
        <v>8.8177731216522968E-3</v>
      </c>
      <c r="R219" s="6">
        <f t="shared" si="11"/>
        <v>2.1562823827699501E-3</v>
      </c>
      <c r="S219" s="6">
        <f t="shared" si="9"/>
        <v>1464.4892795606013</v>
      </c>
      <c r="T219">
        <v>13</v>
      </c>
      <c r="U219">
        <v>0</v>
      </c>
      <c r="V219">
        <v>0</v>
      </c>
      <c r="W219">
        <v>16</v>
      </c>
      <c r="X219">
        <v>0</v>
      </c>
      <c r="Y219">
        <v>0</v>
      </c>
      <c r="Z219">
        <v>0</v>
      </c>
      <c r="AA219">
        <v>-165</v>
      </c>
      <c r="AB219">
        <v>-259</v>
      </c>
      <c r="AC219">
        <v>1020</v>
      </c>
      <c r="AD219">
        <v>56.585265999999898</v>
      </c>
      <c r="AE219">
        <v>-6.6387479999999996</v>
      </c>
    </row>
    <row r="220" spans="1:31" x14ac:dyDescent="0.35">
      <c r="A220">
        <v>373489</v>
      </c>
      <c r="B220" s="2">
        <v>45877.104861111111</v>
      </c>
      <c r="C220" s="3">
        <v>45877</v>
      </c>
      <c r="D220" s="4">
        <v>0.10510416666666667</v>
      </c>
      <c r="E220">
        <v>0.10510416666666667</v>
      </c>
      <c r="F220" t="s">
        <v>31</v>
      </c>
      <c r="G220">
        <v>4</v>
      </c>
      <c r="H220">
        <v>4109</v>
      </c>
      <c r="I220">
        <v>93</v>
      </c>
      <c r="J220">
        <v>0</v>
      </c>
      <c r="K220">
        <v>1.6</v>
      </c>
      <c r="L220">
        <v>0.10486111111094942</v>
      </c>
      <c r="M220">
        <f t="shared" si="10"/>
        <v>0.61875000000145519</v>
      </c>
      <c r="N220" s="5">
        <v>56.585254999999897</v>
      </c>
      <c r="O220">
        <v>-6.6387309999999999</v>
      </c>
      <c r="P220">
        <v>45877.104861111111</v>
      </c>
      <c r="Q220" s="6">
        <v>8.8088256905969834E-3</v>
      </c>
      <c r="R220" s="6">
        <f t="shared" si="11"/>
        <v>0.15475795189020436</v>
      </c>
      <c r="S220" s="6">
        <f t="shared" si="9"/>
        <v>1464.6440375124914</v>
      </c>
      <c r="T220">
        <v>17</v>
      </c>
      <c r="U220">
        <v>0</v>
      </c>
      <c r="V220">
        <v>0</v>
      </c>
      <c r="W220">
        <v>17</v>
      </c>
      <c r="X220">
        <v>0</v>
      </c>
      <c r="Y220">
        <v>0</v>
      </c>
      <c r="Z220">
        <v>0</v>
      </c>
      <c r="AA220">
        <v>-181</v>
      </c>
      <c r="AB220">
        <v>-180</v>
      </c>
      <c r="AC220">
        <v>1017</v>
      </c>
      <c r="AD220">
        <v>56.585248999999898</v>
      </c>
      <c r="AE220">
        <v>-6.6387359999999997</v>
      </c>
    </row>
    <row r="221" spans="1:31" x14ac:dyDescent="0.35">
      <c r="A221">
        <v>373489</v>
      </c>
      <c r="B221" s="2">
        <v>45878.132638888892</v>
      </c>
      <c r="C221" s="3">
        <v>45878</v>
      </c>
      <c r="D221" s="4">
        <v>0.13300925925925927</v>
      </c>
      <c r="E221">
        <v>0.13300925925925927</v>
      </c>
      <c r="F221" t="s">
        <v>31</v>
      </c>
      <c r="G221">
        <v>7</v>
      </c>
      <c r="H221">
        <v>3970</v>
      </c>
      <c r="I221">
        <v>70</v>
      </c>
      <c r="J221">
        <v>0</v>
      </c>
      <c r="K221">
        <v>0.8</v>
      </c>
      <c r="L221">
        <v>0.13263888889196096</v>
      </c>
      <c r="M221">
        <f t="shared" si="10"/>
        <v>0.94166666666569654</v>
      </c>
      <c r="N221" s="5">
        <v>56.583869999999898</v>
      </c>
      <c r="O221">
        <v>-6.6384819999999998</v>
      </c>
      <c r="P221">
        <v>45878.132638888892</v>
      </c>
      <c r="Q221" s="6">
        <v>8.7706809461785638E-3</v>
      </c>
      <c r="R221" s="6">
        <f t="shared" si="11"/>
        <v>0.13899296868153832</v>
      </c>
      <c r="S221" s="6">
        <f t="shared" si="9"/>
        <v>1464.783030481173</v>
      </c>
      <c r="T221">
        <v>12</v>
      </c>
      <c r="U221">
        <v>0</v>
      </c>
      <c r="V221">
        <v>0</v>
      </c>
      <c r="W221">
        <v>15</v>
      </c>
      <c r="X221">
        <v>0</v>
      </c>
      <c r="Y221">
        <v>0</v>
      </c>
      <c r="Z221">
        <v>0</v>
      </c>
      <c r="AA221">
        <v>-231</v>
      </c>
      <c r="AB221">
        <v>-195</v>
      </c>
      <c r="AC221">
        <v>998</v>
      </c>
      <c r="AD221">
        <v>56.583879499999895</v>
      </c>
      <c r="AE221">
        <v>-6.6384654999999997</v>
      </c>
    </row>
    <row r="222" spans="1:31" x14ac:dyDescent="0.35">
      <c r="A222">
        <v>373489</v>
      </c>
      <c r="B222" s="2">
        <v>45877.750694444447</v>
      </c>
      <c r="C222" s="3">
        <v>45877</v>
      </c>
      <c r="D222" s="4">
        <v>0.75089120370370366</v>
      </c>
      <c r="E222">
        <v>0.75089120370370366</v>
      </c>
      <c r="F222" t="s">
        <v>31</v>
      </c>
      <c r="G222">
        <v>7</v>
      </c>
      <c r="H222">
        <v>4001</v>
      </c>
      <c r="I222">
        <v>75</v>
      </c>
      <c r="J222">
        <v>0</v>
      </c>
      <c r="K222">
        <v>1.1000000000000001</v>
      </c>
      <c r="L222">
        <v>0.75069444444670808</v>
      </c>
      <c r="M222">
        <f t="shared" si="10"/>
        <v>0.77500000000145519</v>
      </c>
      <c r="N222" s="5">
        <v>56.585116999999897</v>
      </c>
      <c r="O222">
        <v>-6.638325</v>
      </c>
      <c r="P222">
        <v>45877.750694444447</v>
      </c>
      <c r="Q222" s="6">
        <v>8.7366010120172016E-3</v>
      </c>
      <c r="R222" s="6">
        <f t="shared" si="11"/>
        <v>4.828111290401475E-3</v>
      </c>
      <c r="S222" s="6">
        <f t="shared" ref="S222:S283" si="12">S221+R222</f>
        <v>1464.7878585924634</v>
      </c>
      <c r="T222">
        <v>12</v>
      </c>
      <c r="U222">
        <v>0</v>
      </c>
      <c r="V222">
        <v>0</v>
      </c>
      <c r="W222">
        <v>21</v>
      </c>
      <c r="X222">
        <v>0</v>
      </c>
      <c r="Y222">
        <v>0</v>
      </c>
      <c r="Z222">
        <v>0</v>
      </c>
      <c r="AA222">
        <v>-171</v>
      </c>
      <c r="AB222">
        <v>-51</v>
      </c>
      <c r="AC222">
        <v>1044</v>
      </c>
      <c r="AD222">
        <v>56.585118999999949</v>
      </c>
      <c r="AE222">
        <v>-6.6383014999999999</v>
      </c>
    </row>
    <row r="223" spans="1:31" x14ac:dyDescent="0.35">
      <c r="A223">
        <v>373489</v>
      </c>
      <c r="B223" s="2">
        <v>45877.799305555556</v>
      </c>
      <c r="C223" s="3">
        <v>45877</v>
      </c>
      <c r="D223" s="4">
        <v>0.79947916666666663</v>
      </c>
      <c r="E223">
        <v>0.79947916666666663</v>
      </c>
      <c r="F223" t="s">
        <v>31</v>
      </c>
      <c r="G223">
        <v>5</v>
      </c>
      <c r="H223">
        <v>3998</v>
      </c>
      <c r="I223">
        <v>75</v>
      </c>
      <c r="J223">
        <v>0</v>
      </c>
      <c r="K223">
        <v>1.5</v>
      </c>
      <c r="L223">
        <v>0.79930555555620231</v>
      </c>
      <c r="M223">
        <f t="shared" si="10"/>
        <v>0.42812499999854481</v>
      </c>
      <c r="N223" s="5">
        <v>56.585087000000001</v>
      </c>
      <c r="O223">
        <v>-6.6382680000000001</v>
      </c>
      <c r="P223">
        <v>45877.799305555556</v>
      </c>
      <c r="Q223" s="6">
        <v>8.2930247376616986E-3</v>
      </c>
      <c r="R223" s="6">
        <f t="shared" si="11"/>
        <v>181.66578908825258</v>
      </c>
      <c r="S223" s="6">
        <f t="shared" si="12"/>
        <v>1646.4536476807159</v>
      </c>
      <c r="T223">
        <v>11</v>
      </c>
      <c r="U223">
        <v>0</v>
      </c>
      <c r="V223">
        <v>0</v>
      </c>
      <c r="W223">
        <v>20</v>
      </c>
      <c r="X223">
        <v>0</v>
      </c>
      <c r="Y223">
        <v>0</v>
      </c>
      <c r="Z223">
        <v>0</v>
      </c>
      <c r="AA223">
        <v>-134</v>
      </c>
      <c r="AB223">
        <v>-99</v>
      </c>
      <c r="AC223">
        <v>1038</v>
      </c>
      <c r="AD223">
        <v>56.585094499999954</v>
      </c>
      <c r="AE223">
        <v>-6.6382500000000002</v>
      </c>
    </row>
    <row r="224" spans="1:31" x14ac:dyDescent="0.35">
      <c r="A224">
        <v>373489</v>
      </c>
      <c r="B224" s="2">
        <v>45879.056944444441</v>
      </c>
      <c r="C224" s="3">
        <v>45879</v>
      </c>
      <c r="D224" s="4">
        <v>5.7326388888888892E-2</v>
      </c>
      <c r="E224">
        <v>5.7326388888888892E-2</v>
      </c>
      <c r="F224" t="s">
        <v>31</v>
      </c>
      <c r="G224">
        <v>8</v>
      </c>
      <c r="H224">
        <v>3944</v>
      </c>
      <c r="I224">
        <v>66</v>
      </c>
      <c r="J224">
        <v>0</v>
      </c>
      <c r="K224">
        <v>1</v>
      </c>
      <c r="L224">
        <v>5.694444444088731E-2</v>
      </c>
      <c r="M224">
        <f t="shared" si="10"/>
        <v>0.91770833333430346</v>
      </c>
      <c r="N224" s="5">
        <v>55.342899000000003</v>
      </c>
      <c r="O224">
        <v>-4.7419630000000002</v>
      </c>
      <c r="P224">
        <v>45879.056944444441</v>
      </c>
      <c r="Q224" s="6">
        <v>8.2327325287469555E-3</v>
      </c>
      <c r="R224" s="6">
        <f t="shared" si="11"/>
        <v>181.69393942196837</v>
      </c>
      <c r="S224" s="6">
        <f t="shared" si="12"/>
        <v>1828.1475871026842</v>
      </c>
      <c r="T224">
        <v>138</v>
      </c>
      <c r="U224">
        <v>0</v>
      </c>
      <c r="V224">
        <v>263</v>
      </c>
      <c r="W224">
        <v>15</v>
      </c>
      <c r="X224">
        <v>0</v>
      </c>
      <c r="Y224">
        <v>0</v>
      </c>
      <c r="Z224">
        <v>0</v>
      </c>
      <c r="AA224">
        <v>-141</v>
      </c>
      <c r="AB224">
        <v>189</v>
      </c>
      <c r="AC224">
        <v>1024</v>
      </c>
      <c r="AD224">
        <v>55.342887499999946</v>
      </c>
      <c r="AE224">
        <v>-4.7419589999999996</v>
      </c>
    </row>
    <row r="225" spans="1:31" x14ac:dyDescent="0.35">
      <c r="A225">
        <v>373489</v>
      </c>
      <c r="B225" s="2">
        <v>45878.77847222222</v>
      </c>
      <c r="C225" s="3">
        <v>45878</v>
      </c>
      <c r="D225" s="4">
        <v>0.77866898148148145</v>
      </c>
      <c r="E225">
        <v>0.77866898148148145</v>
      </c>
      <c r="F225" t="s">
        <v>31</v>
      </c>
      <c r="G225">
        <v>6</v>
      </c>
      <c r="H225">
        <v>3975</v>
      </c>
      <c r="I225">
        <v>71</v>
      </c>
      <c r="J225">
        <v>0</v>
      </c>
      <c r="K225">
        <v>2</v>
      </c>
      <c r="L225">
        <v>0.77847222222044365</v>
      </c>
      <c r="M225">
        <f t="shared" si="10"/>
        <v>0.77847222222044365</v>
      </c>
      <c r="N225" s="5">
        <v>56.584957000000003</v>
      </c>
      <c r="O225">
        <v>-6.6392329999999999</v>
      </c>
      <c r="P225">
        <v>45878.77847222222</v>
      </c>
      <c r="Q225" s="6">
        <v>8.2161956510012069E-3</v>
      </c>
      <c r="R225" s="6">
        <f t="shared" si="11"/>
        <v>4.4515616294923108E-2</v>
      </c>
      <c r="S225" s="6">
        <f t="shared" si="12"/>
        <v>1828.1921027189792</v>
      </c>
      <c r="T225">
        <v>24</v>
      </c>
      <c r="U225">
        <v>0</v>
      </c>
      <c r="V225">
        <v>0</v>
      </c>
      <c r="W225">
        <v>19</v>
      </c>
      <c r="X225">
        <v>0</v>
      </c>
      <c r="Y225">
        <v>0</v>
      </c>
      <c r="Z225">
        <v>0</v>
      </c>
      <c r="AA225">
        <v>-307</v>
      </c>
      <c r="AB225">
        <v>-109</v>
      </c>
      <c r="AC225">
        <v>1002</v>
      </c>
      <c r="AD225">
        <v>56.584945499999947</v>
      </c>
      <c r="AE225">
        <v>-6.6392249999999997</v>
      </c>
    </row>
    <row r="226" spans="1:31" x14ac:dyDescent="0.35">
      <c r="A226">
        <v>373489</v>
      </c>
      <c r="B226" s="2">
        <v>45876.77847222222</v>
      </c>
      <c r="C226" s="3">
        <v>45876</v>
      </c>
      <c r="D226" s="4">
        <v>0.77870370370370368</v>
      </c>
      <c r="E226">
        <v>0.77870370370370368</v>
      </c>
      <c r="F226" t="s">
        <v>31</v>
      </c>
      <c r="G226">
        <v>8</v>
      </c>
      <c r="H226">
        <v>4157</v>
      </c>
      <c r="I226">
        <v>100</v>
      </c>
      <c r="J226">
        <v>0</v>
      </c>
      <c r="K226">
        <v>1.1000000000000001</v>
      </c>
      <c r="L226">
        <v>0.77847222222044365</v>
      </c>
      <c r="M226">
        <f t="shared" si="10"/>
        <v>0.61527777777519077</v>
      </c>
      <c r="N226" s="5">
        <v>56.585239000000001</v>
      </c>
      <c r="O226">
        <v>-6.6387169999999998</v>
      </c>
      <c r="P226">
        <v>45876.77847222222</v>
      </c>
      <c r="Q226" s="6">
        <v>8.0144606849813331E-3</v>
      </c>
      <c r="R226" s="6">
        <f t="shared" si="11"/>
        <v>4.3253333526924433E-2</v>
      </c>
      <c r="S226" s="6">
        <f t="shared" si="12"/>
        <v>1828.2353560525062</v>
      </c>
      <c r="T226">
        <v>9</v>
      </c>
      <c r="U226">
        <v>0</v>
      </c>
      <c r="V226">
        <v>0</v>
      </c>
      <c r="W226">
        <v>19</v>
      </c>
      <c r="X226">
        <v>0</v>
      </c>
      <c r="Y226">
        <v>0</v>
      </c>
      <c r="Z226">
        <v>0</v>
      </c>
      <c r="AA226">
        <v>-177</v>
      </c>
      <c r="AB226">
        <v>-204</v>
      </c>
      <c r="AC226">
        <v>1023</v>
      </c>
      <c r="AD226">
        <v>56.585245</v>
      </c>
      <c r="AE226">
        <v>-6.6387164999999992</v>
      </c>
    </row>
    <row r="227" spans="1:31" x14ac:dyDescent="0.35">
      <c r="A227">
        <v>373489</v>
      </c>
      <c r="B227" s="2">
        <v>45878.45208333333</v>
      </c>
      <c r="C227" s="3">
        <v>45878</v>
      </c>
      <c r="D227" s="4">
        <v>0.4523726851851852</v>
      </c>
      <c r="E227">
        <v>0.4523726851851852</v>
      </c>
      <c r="F227" t="s">
        <v>31</v>
      </c>
      <c r="G227">
        <v>5</v>
      </c>
      <c r="H227">
        <v>3975</v>
      </c>
      <c r="I227">
        <v>71</v>
      </c>
      <c r="J227">
        <v>0</v>
      </c>
      <c r="K227">
        <v>1.6</v>
      </c>
      <c r="L227">
        <v>0.45208333332993789</v>
      </c>
      <c r="M227">
        <f t="shared" si="10"/>
        <v>0.20902777777519077</v>
      </c>
      <c r="N227" s="5">
        <v>56.584904000000002</v>
      </c>
      <c r="O227">
        <v>-6.6390760000000002</v>
      </c>
      <c r="P227">
        <v>45878.45208333333</v>
      </c>
      <c r="Q227" s="6">
        <v>7.8485697404642035E-3</v>
      </c>
      <c r="R227" s="6">
        <f t="shared" si="11"/>
        <v>0.11607766441017472</v>
      </c>
      <c r="S227" s="6">
        <f t="shared" si="12"/>
        <v>1828.3514337169163</v>
      </c>
      <c r="T227">
        <v>21</v>
      </c>
      <c r="U227">
        <v>1</v>
      </c>
      <c r="V227">
        <v>356</v>
      </c>
      <c r="W227">
        <v>21</v>
      </c>
      <c r="X227">
        <v>0</v>
      </c>
      <c r="Y227">
        <v>0</v>
      </c>
      <c r="Z227">
        <v>0</v>
      </c>
      <c r="AA227">
        <v>-267</v>
      </c>
      <c r="AB227">
        <v>-511</v>
      </c>
      <c r="AC227">
        <v>879</v>
      </c>
      <c r="AD227">
        <v>56.584915500000001</v>
      </c>
      <c r="AE227">
        <v>-6.6390715</v>
      </c>
    </row>
    <row r="228" spans="1:31" x14ac:dyDescent="0.35">
      <c r="A228">
        <v>373489</v>
      </c>
      <c r="B228" s="2">
        <v>45877.96597222222</v>
      </c>
      <c r="C228" s="3">
        <v>45877</v>
      </c>
      <c r="D228" s="4">
        <v>0.96614583333333337</v>
      </c>
      <c r="E228">
        <v>0.96614583333333337</v>
      </c>
      <c r="F228" t="s">
        <v>31</v>
      </c>
      <c r="G228">
        <v>7</v>
      </c>
      <c r="H228">
        <v>3978</v>
      </c>
      <c r="I228">
        <v>71</v>
      </c>
      <c r="J228">
        <v>0</v>
      </c>
      <c r="K228">
        <v>1</v>
      </c>
      <c r="L228">
        <v>0.96597222222044365</v>
      </c>
      <c r="M228">
        <f t="shared" si="10"/>
        <v>0.83749999999417923</v>
      </c>
      <c r="N228" s="5">
        <v>56.583903999999897</v>
      </c>
      <c r="O228">
        <v>-6.6385319999999997</v>
      </c>
      <c r="P228">
        <v>45877.96597222222</v>
      </c>
      <c r="Q228" s="6">
        <v>7.8303562635808812E-3</v>
      </c>
      <c r="R228" s="6">
        <f t="shared" si="11"/>
        <v>0.13133330588417594</v>
      </c>
      <c r="S228" s="6">
        <f t="shared" si="12"/>
        <v>1828.4827670228005</v>
      </c>
      <c r="T228">
        <v>25</v>
      </c>
      <c r="U228">
        <v>0</v>
      </c>
      <c r="V228">
        <v>70</v>
      </c>
      <c r="W228">
        <v>15</v>
      </c>
      <c r="X228">
        <v>0</v>
      </c>
      <c r="Y228">
        <v>0</v>
      </c>
      <c r="Z228">
        <v>0</v>
      </c>
      <c r="AA228">
        <v>-159</v>
      </c>
      <c r="AB228">
        <v>-57</v>
      </c>
      <c r="AC228">
        <v>1030</v>
      </c>
      <c r="AD228">
        <v>56.583905999999949</v>
      </c>
      <c r="AE228">
        <v>-6.6385109999999994</v>
      </c>
    </row>
    <row r="229" spans="1:31" x14ac:dyDescent="0.35">
      <c r="A229">
        <v>373489</v>
      </c>
      <c r="B229" s="2">
        <v>45877.709027777775</v>
      </c>
      <c r="C229" s="3">
        <v>45877</v>
      </c>
      <c r="D229" s="4">
        <v>0.70920138888888884</v>
      </c>
      <c r="E229">
        <v>0.70920138888888884</v>
      </c>
      <c r="F229" t="s">
        <v>31</v>
      </c>
      <c r="G229">
        <v>6</v>
      </c>
      <c r="H229">
        <v>4009</v>
      </c>
      <c r="I229">
        <v>77</v>
      </c>
      <c r="J229">
        <v>0</v>
      </c>
      <c r="K229">
        <v>1.3</v>
      </c>
      <c r="L229">
        <v>0.70902777777519077</v>
      </c>
      <c r="M229">
        <f t="shared" si="10"/>
        <v>0.18124999999417923</v>
      </c>
      <c r="N229" s="5">
        <v>56.585075000000003</v>
      </c>
      <c r="O229">
        <v>-6.6382519999999996</v>
      </c>
      <c r="P229">
        <v>45877.709027777775</v>
      </c>
      <c r="Q229" s="6">
        <v>7.8177751092956081E-3</v>
      </c>
      <c r="R229" s="6">
        <f t="shared" si="11"/>
        <v>6.4388577459200319E-2</v>
      </c>
      <c r="S229" s="6">
        <f t="shared" si="12"/>
        <v>1828.5471556002597</v>
      </c>
      <c r="T229">
        <v>16</v>
      </c>
      <c r="U229">
        <v>0</v>
      </c>
      <c r="V229">
        <v>0</v>
      </c>
      <c r="W229">
        <v>23</v>
      </c>
      <c r="X229">
        <v>0</v>
      </c>
      <c r="Y229">
        <v>0</v>
      </c>
      <c r="Z229">
        <v>0</v>
      </c>
      <c r="AA229">
        <v>-171</v>
      </c>
      <c r="AB229">
        <v>107</v>
      </c>
      <c r="AC229">
        <v>1035</v>
      </c>
      <c r="AD229">
        <v>56.585076999999998</v>
      </c>
      <c r="AE229">
        <v>-6.6382619999999992</v>
      </c>
    </row>
    <row r="230" spans="1:31" x14ac:dyDescent="0.35">
      <c r="A230">
        <v>373489</v>
      </c>
      <c r="B230" s="2">
        <v>45878.65347222222</v>
      </c>
      <c r="C230" s="3">
        <v>45878</v>
      </c>
      <c r="D230" s="4">
        <v>0.65413194444444445</v>
      </c>
      <c r="E230">
        <v>0.65413194444444445</v>
      </c>
      <c r="F230" t="s">
        <v>31</v>
      </c>
      <c r="G230">
        <v>6</v>
      </c>
      <c r="H230">
        <v>3990</v>
      </c>
      <c r="I230">
        <v>73</v>
      </c>
      <c r="J230">
        <v>0</v>
      </c>
      <c r="K230">
        <v>1.3</v>
      </c>
      <c r="L230">
        <v>0.65347222222044365</v>
      </c>
      <c r="M230">
        <f t="shared" si="10"/>
        <v>0.55972222222044365</v>
      </c>
      <c r="N230" s="5">
        <v>56.584896000000001</v>
      </c>
      <c r="O230">
        <v>-6.6392519999999999</v>
      </c>
      <c r="P230">
        <v>45878.65347222222</v>
      </c>
      <c r="Q230" s="6">
        <v>7.7243327871132778E-3</v>
      </c>
      <c r="R230" s="6">
        <f t="shared" si="11"/>
        <v>1.1841322129236822E-2</v>
      </c>
      <c r="S230" s="6">
        <f t="shared" si="12"/>
        <v>1828.5589969223888</v>
      </c>
      <c r="T230">
        <v>12</v>
      </c>
      <c r="U230">
        <v>1</v>
      </c>
      <c r="V230">
        <v>160</v>
      </c>
      <c r="W230">
        <v>25</v>
      </c>
      <c r="X230">
        <v>0</v>
      </c>
      <c r="Y230">
        <v>0</v>
      </c>
      <c r="Z230">
        <v>0</v>
      </c>
      <c r="AA230">
        <v>988</v>
      </c>
      <c r="AB230">
        <v>966</v>
      </c>
      <c r="AC230">
        <v>105</v>
      </c>
      <c r="AD230">
        <v>56.5848905</v>
      </c>
      <c r="AE230">
        <v>-6.6392334999999996</v>
      </c>
    </row>
    <row r="231" spans="1:31" x14ac:dyDescent="0.35">
      <c r="A231">
        <v>373489</v>
      </c>
      <c r="B231" s="2">
        <v>45878.46597222222</v>
      </c>
      <c r="C231" s="3">
        <v>45878</v>
      </c>
      <c r="D231" s="4">
        <v>0.46663194444444445</v>
      </c>
      <c r="E231">
        <v>0.46663194444444445</v>
      </c>
      <c r="F231" t="s">
        <v>31</v>
      </c>
      <c r="G231">
        <v>6</v>
      </c>
      <c r="H231">
        <v>3975</v>
      </c>
      <c r="I231">
        <v>71</v>
      </c>
      <c r="J231">
        <v>0</v>
      </c>
      <c r="K231">
        <v>1.5</v>
      </c>
      <c r="L231">
        <v>0.46597222222044365</v>
      </c>
      <c r="M231">
        <f t="shared" si="10"/>
        <v>0.57708333333721384</v>
      </c>
      <c r="N231" s="5">
        <v>56.584927</v>
      </c>
      <c r="O231">
        <v>-6.6390669999999998</v>
      </c>
      <c r="P231">
        <v>45878.46597222222</v>
      </c>
      <c r="Q231" s="6">
        <v>7.7197979547083155E-3</v>
      </c>
      <c r="R231" s="6">
        <f t="shared" si="11"/>
        <v>4.7556785178499011E-2</v>
      </c>
      <c r="S231" s="6">
        <f t="shared" si="12"/>
        <v>1828.6065537075674</v>
      </c>
      <c r="T231">
        <v>13</v>
      </c>
      <c r="U231">
        <v>0</v>
      </c>
      <c r="V231">
        <v>0</v>
      </c>
      <c r="W231">
        <v>22</v>
      </c>
      <c r="X231">
        <v>0</v>
      </c>
      <c r="Y231">
        <v>0</v>
      </c>
      <c r="Z231">
        <v>0</v>
      </c>
      <c r="AA231">
        <v>-98</v>
      </c>
      <c r="AB231">
        <v>430</v>
      </c>
      <c r="AC231">
        <v>957</v>
      </c>
      <c r="AD231">
        <v>56.584934499999946</v>
      </c>
      <c r="AE231">
        <v>-6.6390829999999994</v>
      </c>
    </row>
    <row r="232" spans="1:31" x14ac:dyDescent="0.35">
      <c r="A232">
        <v>373489</v>
      </c>
      <c r="B232" s="2">
        <v>45876.688194444447</v>
      </c>
      <c r="C232" s="3">
        <v>45876</v>
      </c>
      <c r="D232" s="4">
        <v>0.68840277777777781</v>
      </c>
      <c r="E232">
        <v>0.68840277777777781</v>
      </c>
      <c r="F232" t="s">
        <v>31</v>
      </c>
      <c r="G232">
        <v>7</v>
      </c>
      <c r="H232">
        <v>4171</v>
      </c>
      <c r="I232">
        <v>100</v>
      </c>
      <c r="J232">
        <v>0</v>
      </c>
      <c r="K232">
        <v>1</v>
      </c>
      <c r="L232">
        <v>0.68819444444670808</v>
      </c>
      <c r="M232">
        <f t="shared" si="10"/>
        <v>0.91041666666569654</v>
      </c>
      <c r="N232" s="5">
        <v>56.585273999999899</v>
      </c>
      <c r="O232">
        <v>-6.6386130000000003</v>
      </c>
      <c r="P232">
        <v>45876.688194444447</v>
      </c>
      <c r="Q232" s="6">
        <v>7.7155498485936341E-3</v>
      </c>
      <c r="R232" s="6">
        <f t="shared" si="11"/>
        <v>8.5533290396206246E-3</v>
      </c>
      <c r="S232" s="6">
        <f t="shared" si="12"/>
        <v>1828.615107036607</v>
      </c>
      <c r="T232">
        <v>15</v>
      </c>
      <c r="U232">
        <v>0</v>
      </c>
      <c r="V232">
        <v>345</v>
      </c>
      <c r="W232">
        <v>22</v>
      </c>
      <c r="X232">
        <v>0</v>
      </c>
      <c r="Y232">
        <v>0</v>
      </c>
      <c r="Z232">
        <v>0</v>
      </c>
      <c r="AA232">
        <v>-236</v>
      </c>
      <c r="AB232">
        <v>-176</v>
      </c>
      <c r="AC232">
        <v>1012</v>
      </c>
      <c r="AD232">
        <v>56.585273999999899</v>
      </c>
      <c r="AE232">
        <v>-6.6386025000000002</v>
      </c>
    </row>
    <row r="233" spans="1:31" x14ac:dyDescent="0.35">
      <c r="A233">
        <v>373489</v>
      </c>
      <c r="B233" s="2">
        <v>45877.132638888892</v>
      </c>
      <c r="C233" s="3">
        <v>45877</v>
      </c>
      <c r="D233" s="4">
        <v>0.13293981481481482</v>
      </c>
      <c r="E233">
        <v>0.13293981481481482</v>
      </c>
      <c r="F233" t="s">
        <v>31</v>
      </c>
      <c r="G233">
        <v>6</v>
      </c>
      <c r="H233">
        <v>4098</v>
      </c>
      <c r="I233">
        <v>91</v>
      </c>
      <c r="J233">
        <v>0</v>
      </c>
      <c r="K233">
        <v>1.7</v>
      </c>
      <c r="L233">
        <v>0.13263888889196096</v>
      </c>
      <c r="M233">
        <f t="shared" si="10"/>
        <v>7.6388888919609599E-3</v>
      </c>
      <c r="N233" s="5">
        <v>56.585289000000003</v>
      </c>
      <c r="O233">
        <v>-6.6387499999999999</v>
      </c>
      <c r="P233">
        <v>45877.132638888892</v>
      </c>
      <c r="Q233" s="6">
        <v>7.4845672302233162E-3</v>
      </c>
      <c r="R233" s="6">
        <f t="shared" si="11"/>
        <v>3.2198156514840603E-3</v>
      </c>
      <c r="S233" s="6">
        <f t="shared" si="12"/>
        <v>1828.6183268522584</v>
      </c>
      <c r="T233">
        <v>14</v>
      </c>
      <c r="U233">
        <v>0</v>
      </c>
      <c r="V233">
        <v>0</v>
      </c>
      <c r="W233">
        <v>16</v>
      </c>
      <c r="X233">
        <v>0</v>
      </c>
      <c r="Y233">
        <v>0</v>
      </c>
      <c r="Z233">
        <v>0</v>
      </c>
      <c r="AA233">
        <v>-136</v>
      </c>
      <c r="AB233">
        <v>-497</v>
      </c>
      <c r="AC233">
        <v>911</v>
      </c>
      <c r="AD233">
        <v>56.585294499999947</v>
      </c>
      <c r="AE233">
        <v>-6.6387520000000002</v>
      </c>
    </row>
    <row r="234" spans="1:31" x14ac:dyDescent="0.35">
      <c r="A234">
        <v>373489</v>
      </c>
      <c r="B234" s="2">
        <v>45876.882638888892</v>
      </c>
      <c r="C234" s="3">
        <v>45876</v>
      </c>
      <c r="D234" s="4">
        <v>0.88300925925925922</v>
      </c>
      <c r="E234">
        <v>0.88300925925925922</v>
      </c>
      <c r="F234" t="s">
        <v>31</v>
      </c>
      <c r="G234">
        <v>6</v>
      </c>
      <c r="H234">
        <v>4140</v>
      </c>
      <c r="I234">
        <v>98</v>
      </c>
      <c r="J234">
        <v>0</v>
      </c>
      <c r="K234">
        <v>1</v>
      </c>
      <c r="L234">
        <v>0.88263888889196096</v>
      </c>
      <c r="M234">
        <f t="shared" si="10"/>
        <v>0.83750000000145519</v>
      </c>
      <c r="N234" s="5">
        <v>56.585262</v>
      </c>
      <c r="O234">
        <v>-6.6387309999999999</v>
      </c>
      <c r="P234">
        <v>45876.882638888892</v>
      </c>
      <c r="Q234" s="6">
        <v>7.4211747806521124E-3</v>
      </c>
      <c r="R234" s="6">
        <f t="shared" si="11"/>
        <v>4.7072992779728699E-2</v>
      </c>
      <c r="S234" s="6">
        <f t="shared" si="12"/>
        <v>1828.6653998450381</v>
      </c>
      <c r="T234">
        <v>15</v>
      </c>
      <c r="U234">
        <v>0</v>
      </c>
      <c r="V234">
        <v>0</v>
      </c>
      <c r="W234">
        <v>16</v>
      </c>
      <c r="X234">
        <v>0</v>
      </c>
      <c r="Y234">
        <v>0</v>
      </c>
      <c r="Z234">
        <v>0</v>
      </c>
      <c r="AA234">
        <v>-50</v>
      </c>
      <c r="AB234">
        <v>157</v>
      </c>
      <c r="AC234">
        <v>1044</v>
      </c>
      <c r="AD234">
        <v>56.5852565</v>
      </c>
      <c r="AE234">
        <v>-6.6387324999999997</v>
      </c>
    </row>
    <row r="235" spans="1:31" x14ac:dyDescent="0.35">
      <c r="A235">
        <v>373489</v>
      </c>
      <c r="B235" s="2">
        <v>45878.792361111111</v>
      </c>
      <c r="C235" s="3">
        <v>45878</v>
      </c>
      <c r="D235" s="4">
        <v>0.79258101851851848</v>
      </c>
      <c r="E235">
        <v>0.79258101851851848</v>
      </c>
      <c r="F235" t="s">
        <v>31</v>
      </c>
      <c r="G235">
        <v>6</v>
      </c>
      <c r="H235">
        <v>3975</v>
      </c>
      <c r="I235">
        <v>71</v>
      </c>
      <c r="J235">
        <v>0</v>
      </c>
      <c r="K235">
        <v>1.6</v>
      </c>
      <c r="L235">
        <v>0.79236111111094942</v>
      </c>
      <c r="M235">
        <f t="shared" si="10"/>
        <v>0.88611111111094942</v>
      </c>
      <c r="N235" s="5">
        <v>56.584933999999897</v>
      </c>
      <c r="O235">
        <v>-6.6392170000000004</v>
      </c>
      <c r="P235">
        <v>45878.792361111111</v>
      </c>
      <c r="Q235" s="6">
        <v>7.3609928774983832E-3</v>
      </c>
      <c r="R235" s="6">
        <f t="shared" si="11"/>
        <v>4.7226883571759311E-2</v>
      </c>
      <c r="S235" s="6">
        <f t="shared" si="12"/>
        <v>1828.7126267286098</v>
      </c>
      <c r="T235">
        <v>21</v>
      </c>
      <c r="U235">
        <v>0</v>
      </c>
      <c r="V235">
        <v>199</v>
      </c>
      <c r="W235">
        <v>19</v>
      </c>
      <c r="X235">
        <v>0</v>
      </c>
      <c r="Y235">
        <v>0</v>
      </c>
      <c r="Z235">
        <v>0</v>
      </c>
      <c r="AA235">
        <v>-152</v>
      </c>
      <c r="AB235">
        <v>-149</v>
      </c>
      <c r="AC235">
        <v>1038</v>
      </c>
      <c r="AD235">
        <v>56.584930499999949</v>
      </c>
      <c r="AE235">
        <v>-6.6392360000000004</v>
      </c>
    </row>
    <row r="236" spans="1:31" x14ac:dyDescent="0.35">
      <c r="A236">
        <v>373489</v>
      </c>
      <c r="B236" s="2">
        <v>45876.979861111111</v>
      </c>
      <c r="C236" s="3">
        <v>45876</v>
      </c>
      <c r="D236" s="4">
        <v>0.98004629629629625</v>
      </c>
      <c r="E236">
        <v>0.98004629629629625</v>
      </c>
      <c r="F236" t="s">
        <v>31</v>
      </c>
      <c r="G236">
        <v>5</v>
      </c>
      <c r="H236">
        <v>4123</v>
      </c>
      <c r="I236">
        <v>96</v>
      </c>
      <c r="J236">
        <v>0</v>
      </c>
      <c r="K236">
        <v>1.6</v>
      </c>
      <c r="L236">
        <v>0.97986111111094942</v>
      </c>
      <c r="M236">
        <f t="shared" si="10"/>
        <v>0.52152777777519077</v>
      </c>
      <c r="N236" s="5">
        <v>56.585265999999898</v>
      </c>
      <c r="O236">
        <v>-6.6387359999999997</v>
      </c>
      <c r="P236">
        <v>45876.979861111111</v>
      </c>
      <c r="Q236" s="6">
        <v>7.348056198227859E-3</v>
      </c>
      <c r="R236" s="6">
        <f t="shared" si="11"/>
        <v>0.15516388458141353</v>
      </c>
      <c r="S236" s="6">
        <f t="shared" si="12"/>
        <v>1828.8677906131913</v>
      </c>
      <c r="T236">
        <v>23</v>
      </c>
      <c r="U236">
        <v>0</v>
      </c>
      <c r="V236">
        <v>267</v>
      </c>
      <c r="W236">
        <v>16</v>
      </c>
      <c r="X236">
        <v>0</v>
      </c>
      <c r="Y236">
        <v>0</v>
      </c>
      <c r="Z236">
        <v>0</v>
      </c>
      <c r="AA236">
        <v>-250</v>
      </c>
      <c r="AB236">
        <v>-195</v>
      </c>
      <c r="AC236">
        <v>982</v>
      </c>
      <c r="AD236">
        <v>56.585260499999897</v>
      </c>
      <c r="AE236">
        <v>-6.6387365000000003</v>
      </c>
    </row>
    <row r="237" spans="1:31" x14ac:dyDescent="0.35">
      <c r="A237">
        <v>373489</v>
      </c>
      <c r="B237" s="2">
        <v>45878.063194444447</v>
      </c>
      <c r="C237" s="3">
        <v>45878</v>
      </c>
      <c r="D237" s="4">
        <v>6.3368055555555552E-2</v>
      </c>
      <c r="E237">
        <v>6.3368055555555552E-2</v>
      </c>
      <c r="F237" t="s">
        <v>31</v>
      </c>
      <c r="G237">
        <v>9</v>
      </c>
      <c r="H237">
        <v>3973</v>
      </c>
      <c r="I237">
        <v>71</v>
      </c>
      <c r="J237">
        <v>0</v>
      </c>
      <c r="K237">
        <v>0.9</v>
      </c>
      <c r="L237">
        <v>6.3194444446708076E-2</v>
      </c>
      <c r="M237">
        <f t="shared" si="10"/>
        <v>0.97291666666569654</v>
      </c>
      <c r="N237" s="5">
        <v>56.583877999999899</v>
      </c>
      <c r="O237">
        <v>-6.6384749999999997</v>
      </c>
      <c r="P237">
        <v>45878.063194444447</v>
      </c>
      <c r="Q237" s="6">
        <v>7.3260794299730069E-3</v>
      </c>
      <c r="R237" s="6">
        <f t="shared" si="11"/>
        <v>0.13885846720280093</v>
      </c>
      <c r="S237" s="6">
        <f t="shared" si="12"/>
        <v>1829.0066490803943</v>
      </c>
      <c r="T237">
        <v>10</v>
      </c>
      <c r="U237">
        <v>0</v>
      </c>
      <c r="V237">
        <v>0</v>
      </c>
      <c r="W237">
        <v>14</v>
      </c>
      <c r="X237">
        <v>0</v>
      </c>
      <c r="Y237">
        <v>0</v>
      </c>
      <c r="Z237">
        <v>0</v>
      </c>
      <c r="AA237">
        <v>-255</v>
      </c>
      <c r="AB237">
        <v>-507</v>
      </c>
      <c r="AC237">
        <v>864</v>
      </c>
      <c r="AD237">
        <v>56.583887499999946</v>
      </c>
      <c r="AE237">
        <v>-6.6384849999999993</v>
      </c>
    </row>
    <row r="238" spans="1:31" x14ac:dyDescent="0.35">
      <c r="A238">
        <v>373489</v>
      </c>
      <c r="B238" s="2">
        <v>45877.882638888892</v>
      </c>
      <c r="C238" s="3">
        <v>45877</v>
      </c>
      <c r="D238" s="4">
        <v>0.88278935185185181</v>
      </c>
      <c r="E238">
        <v>0.88278935185185181</v>
      </c>
      <c r="F238" t="s">
        <v>31</v>
      </c>
      <c r="G238">
        <v>6</v>
      </c>
      <c r="H238">
        <v>3984</v>
      </c>
      <c r="I238">
        <v>72</v>
      </c>
      <c r="J238">
        <v>0</v>
      </c>
      <c r="K238">
        <v>1.7</v>
      </c>
      <c r="L238">
        <v>0.88263888889196096</v>
      </c>
      <c r="M238">
        <f t="shared" si="10"/>
        <v>0.91736111111094942</v>
      </c>
      <c r="N238" s="5">
        <v>56.585121000000001</v>
      </c>
      <c r="O238">
        <v>-6.6382570000000003</v>
      </c>
      <c r="P238">
        <v>45877.882638888892</v>
      </c>
      <c r="Q238" s="6">
        <v>7.1644681472254257E-3</v>
      </c>
      <c r="R238" s="6">
        <f t="shared" si="11"/>
        <v>0.13654247096228717</v>
      </c>
      <c r="S238" s="6">
        <f t="shared" si="12"/>
        <v>1829.1431915513565</v>
      </c>
      <c r="T238">
        <v>15</v>
      </c>
      <c r="U238">
        <v>0</v>
      </c>
      <c r="V238">
        <v>0</v>
      </c>
      <c r="W238">
        <v>17</v>
      </c>
      <c r="X238">
        <v>0</v>
      </c>
      <c r="Y238">
        <v>0</v>
      </c>
      <c r="Z238">
        <v>0</v>
      </c>
      <c r="AA238">
        <v>-220</v>
      </c>
      <c r="AB238">
        <v>-215</v>
      </c>
      <c r="AC238">
        <v>999</v>
      </c>
      <c r="AD238">
        <v>56.585121000000001</v>
      </c>
      <c r="AE238">
        <v>-6.6382764999999999</v>
      </c>
    </row>
    <row r="239" spans="1:31" x14ac:dyDescent="0.35">
      <c r="A239">
        <v>373489</v>
      </c>
      <c r="B239" s="2">
        <v>45877.95208333333</v>
      </c>
      <c r="C239" s="3">
        <v>45877</v>
      </c>
      <c r="D239" s="4">
        <v>0.95246527777777779</v>
      </c>
      <c r="E239">
        <v>0.95246527777777779</v>
      </c>
      <c r="F239" t="s">
        <v>31</v>
      </c>
      <c r="G239">
        <v>7</v>
      </c>
      <c r="H239">
        <v>3981</v>
      </c>
      <c r="I239">
        <v>72</v>
      </c>
      <c r="J239">
        <v>0</v>
      </c>
      <c r="K239">
        <v>1</v>
      </c>
      <c r="L239">
        <v>0.95208333332993789</v>
      </c>
      <c r="M239">
        <f t="shared" si="10"/>
        <v>0.91041666666569654</v>
      </c>
      <c r="N239" s="5">
        <v>56.5839</v>
      </c>
      <c r="O239">
        <v>-6.6384939999999997</v>
      </c>
      <c r="P239">
        <v>45877.95208333333</v>
      </c>
      <c r="Q239" s="6">
        <v>7.1073671249992998E-3</v>
      </c>
      <c r="R239" s="6">
        <f t="shared" si="11"/>
        <v>0.13722277352093842</v>
      </c>
      <c r="S239" s="6">
        <f t="shared" si="12"/>
        <v>1829.2804143248775</v>
      </c>
      <c r="T239">
        <v>15</v>
      </c>
      <c r="U239">
        <v>0</v>
      </c>
      <c r="V239">
        <v>0</v>
      </c>
      <c r="W239">
        <v>17</v>
      </c>
      <c r="X239">
        <v>0</v>
      </c>
      <c r="Y239">
        <v>0</v>
      </c>
      <c r="Z239">
        <v>0</v>
      </c>
      <c r="AA239">
        <v>-146</v>
      </c>
      <c r="AB239">
        <v>-125</v>
      </c>
      <c r="AC239">
        <v>1041</v>
      </c>
      <c r="AD239">
        <v>56.583901999999952</v>
      </c>
      <c r="AE239">
        <v>-6.6385129999999997</v>
      </c>
    </row>
    <row r="240" spans="1:31" x14ac:dyDescent="0.35">
      <c r="A240">
        <v>373489</v>
      </c>
      <c r="B240" s="2">
        <v>45877.868750000001</v>
      </c>
      <c r="C240" s="3">
        <v>45877</v>
      </c>
      <c r="D240" s="4">
        <v>0.86892361111111116</v>
      </c>
      <c r="E240">
        <v>0.86892361111111116</v>
      </c>
      <c r="F240" t="s">
        <v>31</v>
      </c>
      <c r="G240">
        <v>11</v>
      </c>
      <c r="H240">
        <v>3984</v>
      </c>
      <c r="I240">
        <v>72</v>
      </c>
      <c r="J240">
        <v>0</v>
      </c>
      <c r="K240">
        <v>0.7</v>
      </c>
      <c r="L240">
        <v>0.86875000000145519</v>
      </c>
      <c r="M240">
        <f t="shared" si="10"/>
        <v>0.29930555555620231</v>
      </c>
      <c r="N240" s="5">
        <v>56.585129000000002</v>
      </c>
      <c r="O240">
        <v>-6.6382909999999997</v>
      </c>
      <c r="P240">
        <v>45877.868750000001</v>
      </c>
      <c r="Q240" s="6">
        <v>6.792178152877193E-3</v>
      </c>
      <c r="R240" s="6">
        <f t="shared" si="11"/>
        <v>2.3463976600153695E-2</v>
      </c>
      <c r="S240" s="6">
        <f t="shared" si="12"/>
        <v>1829.3038783014777</v>
      </c>
      <c r="T240">
        <v>15</v>
      </c>
      <c r="U240">
        <v>0</v>
      </c>
      <c r="V240">
        <v>165</v>
      </c>
      <c r="W240">
        <v>16</v>
      </c>
      <c r="X240">
        <v>0</v>
      </c>
      <c r="Y240">
        <v>0</v>
      </c>
      <c r="Z240">
        <v>0</v>
      </c>
      <c r="AA240">
        <v>-219</v>
      </c>
      <c r="AB240">
        <v>-315</v>
      </c>
      <c r="AC240">
        <v>965</v>
      </c>
      <c r="AD240">
        <v>56.585125000000005</v>
      </c>
      <c r="AE240">
        <v>-6.638274</v>
      </c>
    </row>
    <row r="241" spans="1:31" x14ac:dyDescent="0.35">
      <c r="A241">
        <v>373489</v>
      </c>
      <c r="B241" s="2">
        <v>45876.729861111111</v>
      </c>
      <c r="C241" s="3">
        <v>45876</v>
      </c>
      <c r="D241" s="4">
        <v>0.73006944444444444</v>
      </c>
      <c r="E241">
        <v>0.73006944444444444</v>
      </c>
      <c r="F241" t="s">
        <v>31</v>
      </c>
      <c r="G241">
        <v>6</v>
      </c>
      <c r="H241">
        <v>4169</v>
      </c>
      <c r="I241">
        <v>100</v>
      </c>
      <c r="J241">
        <v>0</v>
      </c>
      <c r="K241">
        <v>1.5</v>
      </c>
      <c r="L241">
        <v>0.72986111111094942</v>
      </c>
      <c r="M241">
        <f t="shared" si="10"/>
        <v>0.78194444444670808</v>
      </c>
      <c r="N241" s="5">
        <v>56.585239000000001</v>
      </c>
      <c r="O241">
        <v>-6.6386180000000001</v>
      </c>
      <c r="P241">
        <v>45876.729861111111</v>
      </c>
      <c r="Q241" s="6">
        <v>6.7921605005079686E-3</v>
      </c>
      <c r="R241" s="6">
        <f t="shared" si="11"/>
        <v>5.0704249104553033E-2</v>
      </c>
      <c r="S241" s="6">
        <f t="shared" si="12"/>
        <v>1829.3545825505821</v>
      </c>
      <c r="T241">
        <v>14</v>
      </c>
      <c r="U241">
        <v>0</v>
      </c>
      <c r="V241">
        <v>0</v>
      </c>
      <c r="W241">
        <v>20</v>
      </c>
      <c r="X241">
        <v>0</v>
      </c>
      <c r="Y241">
        <v>0</v>
      </c>
      <c r="Z241">
        <v>0</v>
      </c>
      <c r="AA241">
        <v>-236</v>
      </c>
      <c r="AB241">
        <v>-95</v>
      </c>
      <c r="AC241">
        <v>1024</v>
      </c>
      <c r="AD241">
        <v>56.585240999999954</v>
      </c>
      <c r="AE241">
        <v>-6.6386265</v>
      </c>
    </row>
    <row r="242" spans="1:31" x14ac:dyDescent="0.35">
      <c r="A242">
        <v>373489</v>
      </c>
      <c r="B242" s="2">
        <v>45878.834027777775</v>
      </c>
      <c r="C242" s="3">
        <v>45878</v>
      </c>
      <c r="D242" s="4">
        <v>0.83423611111111107</v>
      </c>
      <c r="E242">
        <v>0.83423611111111107</v>
      </c>
      <c r="F242" t="s">
        <v>31</v>
      </c>
      <c r="G242">
        <v>4</v>
      </c>
      <c r="H242">
        <v>3970</v>
      </c>
      <c r="I242">
        <v>70</v>
      </c>
      <c r="J242">
        <v>0</v>
      </c>
      <c r="K242">
        <v>2</v>
      </c>
      <c r="L242">
        <v>0.83402777777519077</v>
      </c>
      <c r="M242">
        <f t="shared" si="10"/>
        <v>0.63611111111094942</v>
      </c>
      <c r="N242" s="5">
        <v>56.584949000000002</v>
      </c>
      <c r="O242">
        <v>-6.6392569999999997</v>
      </c>
      <c r="P242">
        <v>45878.834027777775</v>
      </c>
      <c r="Q242" s="6">
        <v>6.6886753441743737E-3</v>
      </c>
      <c r="R242" s="6">
        <f t="shared" si="11"/>
        <v>9.9895366844575013E-3</v>
      </c>
      <c r="S242" s="6">
        <f t="shared" si="12"/>
        <v>1829.3645720872667</v>
      </c>
      <c r="T242">
        <v>17</v>
      </c>
      <c r="U242">
        <v>0</v>
      </c>
      <c r="V242">
        <v>0</v>
      </c>
      <c r="W242">
        <v>19</v>
      </c>
      <c r="X242">
        <v>0</v>
      </c>
      <c r="Y242">
        <v>0</v>
      </c>
      <c r="Z242">
        <v>0</v>
      </c>
      <c r="AA242">
        <v>-297</v>
      </c>
      <c r="AB242">
        <v>-135</v>
      </c>
      <c r="AC242">
        <v>1011</v>
      </c>
      <c r="AD242">
        <v>56.584947499999998</v>
      </c>
      <c r="AE242">
        <v>-6.6392749999999996</v>
      </c>
    </row>
    <row r="243" spans="1:31" x14ac:dyDescent="0.35">
      <c r="A243">
        <v>373489</v>
      </c>
      <c r="B243" s="2">
        <v>45878.438194444447</v>
      </c>
      <c r="C243" s="3">
        <v>45878</v>
      </c>
      <c r="D243" s="4">
        <v>0.4387847222222222</v>
      </c>
      <c r="E243">
        <v>0.4387847222222222</v>
      </c>
      <c r="F243" t="s">
        <v>31</v>
      </c>
      <c r="G243">
        <v>6</v>
      </c>
      <c r="H243">
        <v>3973</v>
      </c>
      <c r="I243">
        <v>71</v>
      </c>
      <c r="J243">
        <v>0</v>
      </c>
      <c r="K243">
        <v>1.6</v>
      </c>
      <c r="L243">
        <v>0.43819444444670808</v>
      </c>
      <c r="M243">
        <f t="shared" si="10"/>
        <v>0.59444444444670808</v>
      </c>
      <c r="N243" s="5">
        <v>56.584915000000002</v>
      </c>
      <c r="O243">
        <v>-6.639106</v>
      </c>
      <c r="P243">
        <v>45878.438194444447</v>
      </c>
      <c r="Q243" s="6">
        <v>6.6209985649484998E-3</v>
      </c>
      <c r="R243" s="6">
        <f t="shared" si="11"/>
        <v>8.4196160990432523E-3</v>
      </c>
      <c r="S243" s="6">
        <f t="shared" si="12"/>
        <v>1829.3729917033656</v>
      </c>
      <c r="T243">
        <v>20</v>
      </c>
      <c r="U243">
        <v>0</v>
      </c>
      <c r="V243">
        <v>113</v>
      </c>
      <c r="W243">
        <v>19</v>
      </c>
      <c r="X243">
        <v>0</v>
      </c>
      <c r="Y243">
        <v>0</v>
      </c>
      <c r="Z243">
        <v>0</v>
      </c>
      <c r="AA243">
        <v>386</v>
      </c>
      <c r="AB243">
        <v>415</v>
      </c>
      <c r="AC243">
        <v>891</v>
      </c>
      <c r="AD243">
        <v>56.584909500000002</v>
      </c>
      <c r="AE243">
        <v>-6.6390910000000005</v>
      </c>
    </row>
    <row r="244" spans="1:31" x14ac:dyDescent="0.35">
      <c r="A244">
        <v>373489</v>
      </c>
      <c r="B244" s="2">
        <v>45878.750694444447</v>
      </c>
      <c r="C244" s="3">
        <v>45878</v>
      </c>
      <c r="D244" s="4">
        <v>0.75107638888888884</v>
      </c>
      <c r="E244">
        <v>0.75107638888888884</v>
      </c>
      <c r="F244" t="s">
        <v>31</v>
      </c>
      <c r="G244">
        <v>8</v>
      </c>
      <c r="H244">
        <v>3978</v>
      </c>
      <c r="I244">
        <v>71</v>
      </c>
      <c r="J244">
        <v>0</v>
      </c>
      <c r="K244">
        <v>1.1000000000000001</v>
      </c>
      <c r="L244">
        <v>0.75069444444670808</v>
      </c>
      <c r="M244">
        <f t="shared" si="10"/>
        <v>0.44861111111094942</v>
      </c>
      <c r="N244" s="5">
        <v>56.584938000000001</v>
      </c>
      <c r="O244">
        <v>-6.6392369999999996</v>
      </c>
      <c r="P244">
        <v>45878.750694444447</v>
      </c>
      <c r="Q244" s="6">
        <v>6.54906246185825E-3</v>
      </c>
      <c r="R244" s="6">
        <f t="shared" si="11"/>
        <v>0.12623050366587604</v>
      </c>
      <c r="S244" s="6">
        <f t="shared" si="12"/>
        <v>1829.4992222070316</v>
      </c>
      <c r="T244">
        <v>10</v>
      </c>
      <c r="U244">
        <v>0</v>
      </c>
      <c r="V244">
        <v>125</v>
      </c>
      <c r="W244">
        <v>21</v>
      </c>
      <c r="X244">
        <v>0</v>
      </c>
      <c r="Y244">
        <v>0</v>
      </c>
      <c r="Z244">
        <v>0</v>
      </c>
      <c r="AA244">
        <v>-97</v>
      </c>
      <c r="AB244">
        <v>-222</v>
      </c>
      <c r="AC244">
        <v>1026</v>
      </c>
      <c r="AD244">
        <v>56.584930499999999</v>
      </c>
      <c r="AE244">
        <v>-6.6392255000000002</v>
      </c>
    </row>
    <row r="245" spans="1:31" x14ac:dyDescent="0.35">
      <c r="A245">
        <v>373489</v>
      </c>
      <c r="B245" s="2">
        <v>45878.146527777775</v>
      </c>
      <c r="C245" s="3">
        <v>45878</v>
      </c>
      <c r="D245" s="4">
        <v>0.14671296296296296</v>
      </c>
      <c r="E245">
        <v>0.14671296296296296</v>
      </c>
      <c r="F245" t="s">
        <v>31</v>
      </c>
      <c r="G245">
        <v>6</v>
      </c>
      <c r="H245">
        <v>3967</v>
      </c>
      <c r="I245">
        <v>70</v>
      </c>
      <c r="J245">
        <v>0</v>
      </c>
      <c r="K245">
        <v>0.9</v>
      </c>
      <c r="L245">
        <v>0.14652777777519077</v>
      </c>
      <c r="M245">
        <f t="shared" si="10"/>
        <v>0.21597222222044365</v>
      </c>
      <c r="N245" s="5">
        <v>56.5838889999999</v>
      </c>
      <c r="O245">
        <v>-6.6384489999999996</v>
      </c>
      <c r="P245">
        <v>45878.146527777775</v>
      </c>
      <c r="Q245" s="6">
        <v>6.2892841192815517E-3</v>
      </c>
      <c r="R245" s="6">
        <f t="shared" si="11"/>
        <v>7.0885213151356138E-2</v>
      </c>
      <c r="S245" s="6">
        <f t="shared" si="12"/>
        <v>1829.5701074201829</v>
      </c>
      <c r="T245">
        <v>17</v>
      </c>
      <c r="U245">
        <v>0</v>
      </c>
      <c r="V245">
        <v>45</v>
      </c>
      <c r="W245">
        <v>13</v>
      </c>
      <c r="X245">
        <v>0</v>
      </c>
      <c r="Y245">
        <v>0</v>
      </c>
      <c r="Z245">
        <v>0</v>
      </c>
      <c r="AA245">
        <v>-205</v>
      </c>
      <c r="AB245">
        <v>-285</v>
      </c>
      <c r="AC245">
        <v>984</v>
      </c>
      <c r="AD245">
        <v>56.583884999999896</v>
      </c>
      <c r="AE245">
        <v>-6.6384644999999995</v>
      </c>
    </row>
    <row r="246" spans="1:31" x14ac:dyDescent="0.35">
      <c r="A246">
        <v>373489</v>
      </c>
      <c r="B246" s="2">
        <v>45878.285416666666</v>
      </c>
      <c r="C246" s="3">
        <v>45878</v>
      </c>
      <c r="D246" s="4">
        <v>0.2857986111111111</v>
      </c>
      <c r="E246">
        <v>0.2857986111111111</v>
      </c>
      <c r="F246" t="s">
        <v>31</v>
      </c>
      <c r="G246">
        <v>6</v>
      </c>
      <c r="H246">
        <v>3964</v>
      </c>
      <c r="I246">
        <v>69</v>
      </c>
      <c r="J246">
        <v>0</v>
      </c>
      <c r="K246">
        <v>1.7</v>
      </c>
      <c r="L246">
        <v>0.28541666666569654</v>
      </c>
      <c r="M246">
        <f t="shared" si="10"/>
        <v>0.27847222222044365</v>
      </c>
      <c r="N246" s="5">
        <v>56.584465000000002</v>
      </c>
      <c r="O246">
        <v>-6.6389449999999997</v>
      </c>
      <c r="P246">
        <v>45878.285416666666</v>
      </c>
      <c r="Q246" s="6">
        <v>5.8983926731857178E-3</v>
      </c>
      <c r="R246" s="6">
        <f t="shared" si="11"/>
        <v>1.9120624588472395E-3</v>
      </c>
      <c r="S246" s="6">
        <f t="shared" si="12"/>
        <v>1829.5720194826417</v>
      </c>
      <c r="T246">
        <v>25</v>
      </c>
      <c r="U246">
        <v>0</v>
      </c>
      <c r="V246">
        <v>205</v>
      </c>
      <c r="W246">
        <v>16</v>
      </c>
      <c r="X246">
        <v>0</v>
      </c>
      <c r="Y246">
        <v>0</v>
      </c>
      <c r="Z246">
        <v>0</v>
      </c>
      <c r="AA246">
        <v>-31</v>
      </c>
      <c r="AB246">
        <v>251</v>
      </c>
      <c r="AC246">
        <v>977</v>
      </c>
      <c r="AD246">
        <v>56.584457499999949</v>
      </c>
      <c r="AE246">
        <v>-6.6389534999999995</v>
      </c>
    </row>
    <row r="247" spans="1:31" x14ac:dyDescent="0.35">
      <c r="A247">
        <v>373489</v>
      </c>
      <c r="B247" s="2">
        <v>45878.271527777775</v>
      </c>
      <c r="C247" s="3">
        <v>45878</v>
      </c>
      <c r="D247" s="4">
        <v>0.27172453703703703</v>
      </c>
      <c r="E247">
        <v>0.27172453703703703</v>
      </c>
      <c r="F247" t="s">
        <v>31</v>
      </c>
      <c r="G247">
        <v>6</v>
      </c>
      <c r="H247">
        <v>3961</v>
      </c>
      <c r="I247">
        <v>69</v>
      </c>
      <c r="J247">
        <v>0</v>
      </c>
      <c r="K247">
        <v>1.3</v>
      </c>
      <c r="L247">
        <v>0.27152777777519077</v>
      </c>
      <c r="M247">
        <f t="shared" si="10"/>
        <v>0.538888888884685</v>
      </c>
      <c r="N247" s="5">
        <v>56.584454000000001</v>
      </c>
      <c r="O247">
        <v>-6.6389209999999999</v>
      </c>
      <c r="P247">
        <v>45878.271527777775</v>
      </c>
      <c r="Q247" s="6">
        <v>5.7361873758739381E-3</v>
      </c>
      <c r="R247" s="6">
        <f t="shared" si="11"/>
        <v>8.4949960269967623E-2</v>
      </c>
      <c r="S247" s="6">
        <f t="shared" si="12"/>
        <v>1829.6569694429118</v>
      </c>
      <c r="T247">
        <v>27</v>
      </c>
      <c r="U247">
        <v>1</v>
      </c>
      <c r="V247">
        <v>344</v>
      </c>
      <c r="W247">
        <v>16</v>
      </c>
      <c r="X247">
        <v>0</v>
      </c>
      <c r="Y247">
        <v>0</v>
      </c>
      <c r="Z247">
        <v>0</v>
      </c>
      <c r="AA247">
        <v>-258</v>
      </c>
      <c r="AB247">
        <v>-585</v>
      </c>
      <c r="AC247">
        <v>834</v>
      </c>
      <c r="AD247">
        <v>56.584459500000001</v>
      </c>
      <c r="AE247">
        <v>-6.6389329999999998</v>
      </c>
    </row>
    <row r="248" spans="1:31" x14ac:dyDescent="0.35">
      <c r="A248">
        <v>373489</v>
      </c>
      <c r="B248" s="2">
        <v>45876.806250000001</v>
      </c>
      <c r="C248" s="3">
        <v>45876</v>
      </c>
      <c r="D248" s="4">
        <v>0.80645833333333339</v>
      </c>
      <c r="E248">
        <v>0.80645833333333339</v>
      </c>
      <c r="F248" t="s">
        <v>31</v>
      </c>
      <c r="G248">
        <v>6</v>
      </c>
      <c r="H248">
        <v>4154</v>
      </c>
      <c r="I248">
        <v>100</v>
      </c>
      <c r="J248">
        <v>0</v>
      </c>
      <c r="K248">
        <v>1.4</v>
      </c>
      <c r="L248">
        <v>0.80625000000145519</v>
      </c>
      <c r="M248">
        <f t="shared" si="10"/>
        <v>0.99375000000145519</v>
      </c>
      <c r="N248" s="5">
        <v>56.5852089999999</v>
      </c>
      <c r="O248">
        <v>-6.6387090000000004</v>
      </c>
      <c r="P248">
        <v>45876.806250000001</v>
      </c>
      <c r="Q248" s="6">
        <v>5.6446510853958272E-3</v>
      </c>
      <c r="R248" s="6">
        <f t="shared" si="11"/>
        <v>182.80119369561879</v>
      </c>
      <c r="S248" s="6">
        <f t="shared" si="12"/>
        <v>2012.4581631385306</v>
      </c>
      <c r="T248">
        <v>8</v>
      </c>
      <c r="U248">
        <v>0</v>
      </c>
      <c r="V248">
        <v>173</v>
      </c>
      <c r="W248">
        <v>18</v>
      </c>
      <c r="X248">
        <v>0</v>
      </c>
      <c r="Y248">
        <v>0</v>
      </c>
      <c r="Z248">
        <v>0</v>
      </c>
      <c r="AA248">
        <v>-180</v>
      </c>
      <c r="AB248">
        <v>-111</v>
      </c>
      <c r="AC248">
        <v>1032</v>
      </c>
      <c r="AD248">
        <v>56.585212999999953</v>
      </c>
      <c r="AE248">
        <v>-6.6387064999999996</v>
      </c>
    </row>
    <row r="249" spans="1:31" x14ac:dyDescent="0.35">
      <c r="A249">
        <v>373489</v>
      </c>
      <c r="B249" s="2">
        <v>45879.181250000001</v>
      </c>
      <c r="C249" s="3">
        <v>45879</v>
      </c>
      <c r="D249" s="4">
        <v>0.1814236111111111</v>
      </c>
      <c r="E249">
        <v>0.1814236111111111</v>
      </c>
      <c r="F249" t="s">
        <v>31</v>
      </c>
      <c r="G249">
        <v>7</v>
      </c>
      <c r="H249">
        <v>3936</v>
      </c>
      <c r="I249">
        <v>64</v>
      </c>
      <c r="J249">
        <v>0</v>
      </c>
      <c r="K249">
        <v>1.1000000000000001</v>
      </c>
      <c r="L249">
        <v>0.18125000000145519</v>
      </c>
      <c r="M249">
        <f t="shared" si="10"/>
        <v>0.25069444444670808</v>
      </c>
      <c r="N249" s="5">
        <v>55.293498999999898</v>
      </c>
      <c r="O249">
        <v>-4.8226659999999999</v>
      </c>
      <c r="P249">
        <v>45879.181250000001</v>
      </c>
      <c r="Q249" s="6">
        <v>5.6132444722715152E-3</v>
      </c>
      <c r="R249" s="6">
        <f t="shared" si="11"/>
        <v>7.7876369626009134E-2</v>
      </c>
      <c r="S249" s="6">
        <f t="shared" si="12"/>
        <v>2012.5360395081566</v>
      </c>
      <c r="T249">
        <v>33</v>
      </c>
      <c r="U249">
        <v>0</v>
      </c>
      <c r="V249">
        <v>0</v>
      </c>
      <c r="W249">
        <v>20</v>
      </c>
      <c r="X249">
        <v>0</v>
      </c>
      <c r="Y249">
        <v>0</v>
      </c>
      <c r="Z249">
        <v>0</v>
      </c>
      <c r="AA249">
        <v>-269</v>
      </c>
      <c r="AB249">
        <v>-172</v>
      </c>
      <c r="AC249">
        <v>1002</v>
      </c>
      <c r="AD249">
        <v>55.293502999999902</v>
      </c>
      <c r="AE249">
        <v>-4.8226529999999999</v>
      </c>
    </row>
    <row r="250" spans="1:31" x14ac:dyDescent="0.35">
      <c r="A250">
        <v>373489</v>
      </c>
      <c r="B250" s="2">
        <v>45879.320138888892</v>
      </c>
      <c r="C250" s="3">
        <v>45879</v>
      </c>
      <c r="D250" s="4">
        <v>0.3203125</v>
      </c>
      <c r="E250">
        <v>0.3203125</v>
      </c>
      <c r="F250" t="s">
        <v>31</v>
      </c>
      <c r="G250">
        <v>5</v>
      </c>
      <c r="H250">
        <v>3938</v>
      </c>
      <c r="I250">
        <v>65</v>
      </c>
      <c r="J250">
        <v>0</v>
      </c>
      <c r="K250">
        <v>1.3</v>
      </c>
      <c r="L250">
        <v>0.32013888889196096</v>
      </c>
      <c r="M250">
        <f t="shared" si="10"/>
        <v>0.18125000000145519</v>
      </c>
      <c r="N250" s="5">
        <v>55.292824000000003</v>
      </c>
      <c r="O250">
        <v>-4.8223380000000002</v>
      </c>
      <c r="P250">
        <v>45879.320138888892</v>
      </c>
      <c r="Q250" s="6">
        <v>5.5979182744428186E-3</v>
      </c>
      <c r="R250" s="6"/>
      <c r="S250" s="6">
        <f t="shared" si="12"/>
        <v>2012.5360395081566</v>
      </c>
      <c r="T250">
        <v>36</v>
      </c>
      <c r="U250">
        <v>0</v>
      </c>
      <c r="V250">
        <v>0</v>
      </c>
      <c r="W250">
        <v>23</v>
      </c>
      <c r="X250">
        <v>0</v>
      </c>
      <c r="Y250">
        <v>0</v>
      </c>
      <c r="Z250">
        <v>0</v>
      </c>
      <c r="AA250">
        <v>-88</v>
      </c>
      <c r="AB250">
        <v>-405</v>
      </c>
      <c r="AC250">
        <v>929</v>
      </c>
      <c r="AD250">
        <v>55.292824000000003</v>
      </c>
      <c r="AE250">
        <v>-4.8223380000000002</v>
      </c>
    </row>
    <row r="251" spans="1:31" x14ac:dyDescent="0.35">
      <c r="A251">
        <v>373489</v>
      </c>
      <c r="B251" s="2">
        <v>45877.042361111111</v>
      </c>
      <c r="C251" s="3">
        <v>45877</v>
      </c>
      <c r="D251" s="4">
        <v>4.2534722222222224E-2</v>
      </c>
      <c r="E251">
        <v>4.2534722222222224E-2</v>
      </c>
      <c r="F251" t="s">
        <v>31</v>
      </c>
      <c r="G251">
        <v>8</v>
      </c>
      <c r="H251">
        <v>4115</v>
      </c>
      <c r="I251">
        <v>94</v>
      </c>
      <c r="J251">
        <v>0</v>
      </c>
      <c r="K251">
        <v>1.2</v>
      </c>
      <c r="L251">
        <v>4.2361111110949423E-2</v>
      </c>
      <c r="M251">
        <f t="shared" si="10"/>
        <v>0.132638888884685</v>
      </c>
      <c r="N251" s="5">
        <v>56.585258000000003</v>
      </c>
      <c r="O251">
        <v>-6.6387320000000001</v>
      </c>
      <c r="P251">
        <v>45877.042361111111</v>
      </c>
      <c r="Q251" s="6">
        <v>5.5111093674911705E-3</v>
      </c>
      <c r="R251" s="6">
        <f t="shared" ref="R251:R283" si="13">(6371*2*ASIN(SQRT((SIN((RADIANS($N251)-RADIANS($N252))/2)^2)+COS(RADIANS($N252))*COS(RADIANS($N251))*(SIN((RADIANS($O251)-RADIANS($O252))/2)^2))))</f>
        <v>182.80537037833898</v>
      </c>
      <c r="S251" s="6">
        <f t="shared" si="12"/>
        <v>2195.3414098864955</v>
      </c>
      <c r="T251">
        <v>11</v>
      </c>
      <c r="U251">
        <v>0</v>
      </c>
      <c r="V251">
        <v>85</v>
      </c>
      <c r="W251">
        <v>17</v>
      </c>
      <c r="X251">
        <v>0</v>
      </c>
      <c r="Y251">
        <v>0</v>
      </c>
      <c r="Z251">
        <v>0</v>
      </c>
      <c r="AA251">
        <v>-207</v>
      </c>
      <c r="AB251">
        <v>-156</v>
      </c>
      <c r="AC251">
        <v>1020</v>
      </c>
      <c r="AD251">
        <v>56.585258000000003</v>
      </c>
      <c r="AE251">
        <v>-6.6387245000000004</v>
      </c>
    </row>
    <row r="252" spans="1:31" x14ac:dyDescent="0.35">
      <c r="A252">
        <v>373489</v>
      </c>
      <c r="B252" s="2">
        <v>45879.222916666666</v>
      </c>
      <c r="C252" s="3">
        <v>45879</v>
      </c>
      <c r="D252" s="4">
        <v>0.2230787037037037</v>
      </c>
      <c r="E252">
        <v>0.2230787037037037</v>
      </c>
      <c r="F252" t="s">
        <v>31</v>
      </c>
      <c r="G252">
        <v>6</v>
      </c>
      <c r="H252">
        <v>3933</v>
      </c>
      <c r="I252">
        <v>64</v>
      </c>
      <c r="J252">
        <v>0</v>
      </c>
      <c r="K252">
        <v>1.2</v>
      </c>
      <c r="L252">
        <v>0.22291666666569654</v>
      </c>
      <c r="M252">
        <f t="shared" si="10"/>
        <v>0.76111111111094942</v>
      </c>
      <c r="N252" s="5">
        <v>55.293517999999899</v>
      </c>
      <c r="O252">
        <v>-4.8226469999999999</v>
      </c>
      <c r="P252">
        <v>45879.222916666666</v>
      </c>
      <c r="Q252" s="6">
        <v>5.4984105818842617E-3</v>
      </c>
      <c r="R252" s="6">
        <f t="shared" si="13"/>
        <v>182.74439105978644</v>
      </c>
      <c r="S252" s="6">
        <f t="shared" si="12"/>
        <v>2378.0858009462818</v>
      </c>
      <c r="T252">
        <v>36</v>
      </c>
      <c r="U252">
        <v>0</v>
      </c>
      <c r="V252">
        <v>106</v>
      </c>
      <c r="W252">
        <v>21</v>
      </c>
      <c r="X252">
        <v>0</v>
      </c>
      <c r="Y252">
        <v>0</v>
      </c>
      <c r="Z252">
        <v>0</v>
      </c>
      <c r="AA252">
        <v>-195</v>
      </c>
      <c r="AB252">
        <v>100</v>
      </c>
      <c r="AC252">
        <v>1036</v>
      </c>
      <c r="AD252">
        <v>55.293525499999902</v>
      </c>
      <c r="AE252">
        <v>-4.8226529999999999</v>
      </c>
    </row>
    <row r="253" spans="1:31" x14ac:dyDescent="0.35">
      <c r="A253">
        <v>373489</v>
      </c>
      <c r="B253" s="2">
        <v>45878.299305555556</v>
      </c>
      <c r="C253" s="3">
        <v>45878</v>
      </c>
      <c r="D253" s="4">
        <v>0.29984953703703704</v>
      </c>
      <c r="E253">
        <v>0.29984953703703704</v>
      </c>
      <c r="F253" t="s">
        <v>31</v>
      </c>
      <c r="G253">
        <v>8</v>
      </c>
      <c r="H253">
        <v>3961</v>
      </c>
      <c r="I253">
        <v>69</v>
      </c>
      <c r="J253">
        <v>0</v>
      </c>
      <c r="K253">
        <v>1.6</v>
      </c>
      <c r="L253">
        <v>0.29930555555620231</v>
      </c>
      <c r="M253">
        <f t="shared" si="10"/>
        <v>0.41770833333430346</v>
      </c>
      <c r="N253" s="5">
        <v>56.584449999999897</v>
      </c>
      <c r="O253">
        <v>-6.6389620000000003</v>
      </c>
      <c r="P253">
        <v>45878.299305555556</v>
      </c>
      <c r="Q253" s="6">
        <v>5.3110592412630641E-3</v>
      </c>
      <c r="R253" s="6">
        <f t="shared" si="13"/>
        <v>5.2909244764369007E-2</v>
      </c>
      <c r="S253" s="6">
        <f t="shared" si="12"/>
        <v>2378.1387101910464</v>
      </c>
      <c r="T253">
        <v>18</v>
      </c>
      <c r="U253">
        <v>0</v>
      </c>
      <c r="V253">
        <v>0</v>
      </c>
      <c r="W253">
        <v>19</v>
      </c>
      <c r="X253">
        <v>0</v>
      </c>
      <c r="Y253">
        <v>0</v>
      </c>
      <c r="Z253">
        <v>0</v>
      </c>
      <c r="AA253">
        <v>-207</v>
      </c>
      <c r="AB253">
        <v>-507</v>
      </c>
      <c r="AC253">
        <v>909</v>
      </c>
      <c r="AD253">
        <v>56.584443999999898</v>
      </c>
      <c r="AE253">
        <v>-6.6389525000000003</v>
      </c>
    </row>
    <row r="254" spans="1:31" x14ac:dyDescent="0.35">
      <c r="A254">
        <v>373489</v>
      </c>
      <c r="B254" s="2">
        <v>45878.536111111112</v>
      </c>
      <c r="C254" s="3">
        <v>45878</v>
      </c>
      <c r="D254" s="4">
        <v>0.53642361111111114</v>
      </c>
      <c r="E254">
        <v>0.53642361111111114</v>
      </c>
      <c r="F254" t="s">
        <v>31</v>
      </c>
      <c r="G254">
        <v>7</v>
      </c>
      <c r="H254">
        <v>3987</v>
      </c>
      <c r="I254">
        <v>73</v>
      </c>
      <c r="J254">
        <v>0</v>
      </c>
      <c r="K254">
        <v>1.7</v>
      </c>
      <c r="L254">
        <v>0.53611111111240461</v>
      </c>
      <c r="M254">
        <f t="shared" si="10"/>
        <v>0.31354166666278616</v>
      </c>
      <c r="N254" s="5">
        <v>56.584923000000003</v>
      </c>
      <c r="O254">
        <v>-6.6390560000000001</v>
      </c>
      <c r="P254">
        <v>45878.536111111112</v>
      </c>
      <c r="Q254" s="6">
        <v>5.2604563912250681E-3</v>
      </c>
      <c r="R254" s="6">
        <f t="shared" si="13"/>
        <v>0.11776343948160278</v>
      </c>
      <c r="S254" s="6">
        <f t="shared" si="12"/>
        <v>2378.256473630528</v>
      </c>
      <c r="T254">
        <v>11</v>
      </c>
      <c r="U254">
        <v>0</v>
      </c>
      <c r="V254">
        <v>322</v>
      </c>
      <c r="W254">
        <v>27</v>
      </c>
      <c r="X254">
        <v>0</v>
      </c>
      <c r="Y254">
        <v>0</v>
      </c>
      <c r="Z254">
        <v>0</v>
      </c>
      <c r="AA254">
        <v>-364</v>
      </c>
      <c r="AB254">
        <v>132</v>
      </c>
      <c r="AC254">
        <v>1028</v>
      </c>
      <c r="AD254">
        <v>56.584918999999999</v>
      </c>
      <c r="AE254">
        <v>-6.6390674999999995</v>
      </c>
    </row>
    <row r="255" spans="1:31" x14ac:dyDescent="0.35">
      <c r="A255">
        <v>373489</v>
      </c>
      <c r="B255" s="2">
        <v>45878.09097222222</v>
      </c>
      <c r="C255" s="3">
        <v>45878</v>
      </c>
      <c r="D255" s="4">
        <v>9.1134259259259262E-2</v>
      </c>
      <c r="E255">
        <v>9.1134259259259262E-2</v>
      </c>
      <c r="F255" t="s">
        <v>31</v>
      </c>
      <c r="G255">
        <v>7</v>
      </c>
      <c r="H255">
        <v>3970</v>
      </c>
      <c r="I255">
        <v>70</v>
      </c>
      <c r="J255">
        <v>0</v>
      </c>
      <c r="K255">
        <v>1.5</v>
      </c>
      <c r="L255">
        <v>9.0972222220443655E-2</v>
      </c>
      <c r="M255">
        <f t="shared" si="10"/>
        <v>0.882638888884685</v>
      </c>
      <c r="N255" s="5">
        <v>56.583908000000001</v>
      </c>
      <c r="O255">
        <v>-6.6385069999999997</v>
      </c>
      <c r="P255">
        <v>45878.09097222222</v>
      </c>
      <c r="Q255" s="6">
        <v>5.2151408582637847E-3</v>
      </c>
      <c r="R255" s="6">
        <f t="shared" si="13"/>
        <v>0.13004416148704226</v>
      </c>
      <c r="S255" s="6">
        <f t="shared" si="12"/>
        <v>2378.3865177920152</v>
      </c>
      <c r="T255">
        <v>26</v>
      </c>
      <c r="U255">
        <v>0</v>
      </c>
      <c r="V255">
        <v>0</v>
      </c>
      <c r="W255">
        <v>14</v>
      </c>
      <c r="X255">
        <v>0</v>
      </c>
      <c r="Y255">
        <v>0</v>
      </c>
      <c r="Z255">
        <v>0</v>
      </c>
      <c r="AA255">
        <v>-183</v>
      </c>
      <c r="AB255">
        <v>-288</v>
      </c>
      <c r="AC255">
        <v>1026</v>
      </c>
      <c r="AD255">
        <v>56.583915499999947</v>
      </c>
      <c r="AE255">
        <v>-6.638503</v>
      </c>
    </row>
    <row r="256" spans="1:31" x14ac:dyDescent="0.35">
      <c r="A256">
        <v>373489</v>
      </c>
      <c r="B256" s="2">
        <v>45877.674305555556</v>
      </c>
      <c r="C256" s="3">
        <v>45877</v>
      </c>
      <c r="D256" s="4">
        <v>0.67449074074074078</v>
      </c>
      <c r="E256">
        <v>0.67449074074074078</v>
      </c>
      <c r="F256" t="s">
        <v>31</v>
      </c>
      <c r="G256">
        <v>7</v>
      </c>
      <c r="H256">
        <v>4012</v>
      </c>
      <c r="I256">
        <v>77</v>
      </c>
      <c r="J256">
        <v>0</v>
      </c>
      <c r="K256">
        <v>1.7</v>
      </c>
      <c r="L256">
        <v>0.67430555555620231</v>
      </c>
      <c r="M256">
        <f t="shared" si="10"/>
        <v>0.85486111111094942</v>
      </c>
      <c r="N256" s="5">
        <v>56.585071999999897</v>
      </c>
      <c r="O256">
        <v>-6.6383010000000002</v>
      </c>
      <c r="P256">
        <v>45877.674305555556</v>
      </c>
      <c r="Q256" s="6">
        <v>5.1787307163336021E-3</v>
      </c>
      <c r="R256" s="6">
        <f t="shared" si="13"/>
        <v>0.13199949374718367</v>
      </c>
      <c r="S256" s="6">
        <f t="shared" si="12"/>
        <v>2378.5185172857623</v>
      </c>
      <c r="T256">
        <v>12</v>
      </c>
      <c r="U256">
        <v>0</v>
      </c>
      <c r="V256">
        <v>341</v>
      </c>
      <c r="W256">
        <v>23</v>
      </c>
      <c r="X256">
        <v>0</v>
      </c>
      <c r="Y256">
        <v>0</v>
      </c>
      <c r="Z256">
        <v>0</v>
      </c>
      <c r="AA256">
        <v>-36</v>
      </c>
      <c r="AB256">
        <v>60</v>
      </c>
      <c r="AC256">
        <v>1062</v>
      </c>
      <c r="AD256">
        <v>56.58507349999995</v>
      </c>
      <c r="AE256">
        <v>-6.6382945000000007</v>
      </c>
    </row>
    <row r="257" spans="1:31" x14ac:dyDescent="0.35">
      <c r="A257">
        <v>373489</v>
      </c>
      <c r="B257" s="2">
        <v>45878.035416666666</v>
      </c>
      <c r="C257" s="3">
        <v>45878</v>
      </c>
      <c r="D257" s="4">
        <v>3.5590277777777776E-2</v>
      </c>
      <c r="E257">
        <v>3.5590277777777776E-2</v>
      </c>
      <c r="F257" t="s">
        <v>31</v>
      </c>
      <c r="G257">
        <v>9</v>
      </c>
      <c r="H257">
        <v>3973</v>
      </c>
      <c r="I257">
        <v>71</v>
      </c>
      <c r="J257">
        <v>0</v>
      </c>
      <c r="K257">
        <v>1.2</v>
      </c>
      <c r="L257">
        <v>3.5416666665696539E-2</v>
      </c>
      <c r="M257">
        <f t="shared" si="10"/>
        <v>0.62222222222044365</v>
      </c>
      <c r="N257" s="5">
        <v>56.5838889999999</v>
      </c>
      <c r="O257">
        <v>-6.6384800000000004</v>
      </c>
      <c r="P257">
        <v>45878.035416666666</v>
      </c>
      <c r="Q257" s="6">
        <v>5.1663774280044043E-3</v>
      </c>
      <c r="R257" s="6">
        <f t="shared" si="13"/>
        <v>182.67593599037622</v>
      </c>
      <c r="S257" s="6">
        <f t="shared" si="12"/>
        <v>2561.1944532761386</v>
      </c>
      <c r="T257">
        <v>6</v>
      </c>
      <c r="U257">
        <v>0</v>
      </c>
      <c r="V257">
        <v>0</v>
      </c>
      <c r="W257">
        <v>15</v>
      </c>
      <c r="X257">
        <v>0</v>
      </c>
      <c r="Y257">
        <v>0</v>
      </c>
      <c r="Z257">
        <v>0</v>
      </c>
      <c r="AA257">
        <v>-129</v>
      </c>
      <c r="AB257">
        <v>-130</v>
      </c>
      <c r="AC257">
        <v>1038</v>
      </c>
      <c r="AD257">
        <v>56.583881499999947</v>
      </c>
      <c r="AE257">
        <v>-6.6384765000000003</v>
      </c>
    </row>
    <row r="258" spans="1:31" x14ac:dyDescent="0.35">
      <c r="A258">
        <v>373489</v>
      </c>
      <c r="B258" s="2">
        <v>45879.209027777775</v>
      </c>
      <c r="C258" s="3">
        <v>45879</v>
      </c>
      <c r="D258" s="4">
        <v>0.20921296296296296</v>
      </c>
      <c r="E258">
        <v>0.20921296296296296</v>
      </c>
      <c r="F258" t="s">
        <v>31</v>
      </c>
      <c r="G258">
        <v>6</v>
      </c>
      <c r="H258">
        <v>3936</v>
      </c>
      <c r="I258">
        <v>64</v>
      </c>
      <c r="J258">
        <v>0</v>
      </c>
      <c r="K258">
        <v>1.2</v>
      </c>
      <c r="L258">
        <v>0.20902777777519077</v>
      </c>
      <c r="M258">
        <f t="shared" ref="M258:M283" si="14">AVERAGE(P258:P259)-INT(AVERAGE(P258:P259))</f>
        <v>1.4583333337213844E-2</v>
      </c>
      <c r="N258" s="5">
        <v>55.293532999999897</v>
      </c>
      <c r="O258">
        <v>-4.8226490000000002</v>
      </c>
      <c r="P258">
        <v>45879.209027777775</v>
      </c>
      <c r="Q258" s="6">
        <v>5.0181700724011872E-3</v>
      </c>
      <c r="R258" s="6">
        <f t="shared" si="13"/>
        <v>182.79686561339815</v>
      </c>
      <c r="S258" s="6">
        <f t="shared" si="12"/>
        <v>2743.9913188895366</v>
      </c>
      <c r="T258">
        <v>32</v>
      </c>
      <c r="U258">
        <v>1</v>
      </c>
      <c r="V258">
        <v>270</v>
      </c>
      <c r="W258">
        <v>21</v>
      </c>
      <c r="X258">
        <v>0</v>
      </c>
      <c r="Y258">
        <v>0</v>
      </c>
      <c r="Z258">
        <v>0</v>
      </c>
      <c r="AA258">
        <v>-197</v>
      </c>
      <c r="AB258">
        <v>-87</v>
      </c>
      <c r="AC258">
        <v>1053</v>
      </c>
      <c r="AD258">
        <v>55.293525499999902</v>
      </c>
      <c r="AE258">
        <v>-4.822648</v>
      </c>
    </row>
    <row r="259" spans="1:31" x14ac:dyDescent="0.35">
      <c r="A259">
        <v>373489</v>
      </c>
      <c r="B259" s="2">
        <v>45878.820138888892</v>
      </c>
      <c r="C259" s="3">
        <v>45878</v>
      </c>
      <c r="D259" s="4">
        <v>0.82032407407407404</v>
      </c>
      <c r="E259">
        <v>0.82032407407407404</v>
      </c>
      <c r="F259" t="s">
        <v>31</v>
      </c>
      <c r="G259">
        <v>6</v>
      </c>
      <c r="H259">
        <v>3973</v>
      </c>
      <c r="I259">
        <v>71</v>
      </c>
      <c r="J259">
        <v>0</v>
      </c>
      <c r="K259">
        <v>1.2</v>
      </c>
      <c r="L259">
        <v>0.82013888889196096</v>
      </c>
      <c r="M259">
        <f t="shared" si="14"/>
        <v>0.84097222222771961</v>
      </c>
      <c r="N259" s="5">
        <v>56.584952999999899</v>
      </c>
      <c r="O259">
        <v>-6.6392319999999998</v>
      </c>
      <c r="P259">
        <v>45878.820138888892</v>
      </c>
      <c r="Q259" s="6">
        <v>4.7825408303777892E-3</v>
      </c>
      <c r="R259" s="6">
        <f t="shared" si="13"/>
        <v>8.6319964056547314E-3</v>
      </c>
      <c r="S259" s="6">
        <f t="shared" si="12"/>
        <v>2743.9999508859423</v>
      </c>
      <c r="T259">
        <v>9</v>
      </c>
      <c r="U259">
        <v>0</v>
      </c>
      <c r="V259">
        <v>196</v>
      </c>
      <c r="W259">
        <v>18</v>
      </c>
      <c r="X259">
        <v>0</v>
      </c>
      <c r="Y259">
        <v>0</v>
      </c>
      <c r="Z259">
        <v>0</v>
      </c>
      <c r="AA259">
        <v>-270</v>
      </c>
      <c r="AB259">
        <v>-375</v>
      </c>
      <c r="AC259">
        <v>933</v>
      </c>
      <c r="AD259">
        <v>56.584950999999947</v>
      </c>
      <c r="AE259">
        <v>-6.6392445000000002</v>
      </c>
    </row>
    <row r="260" spans="1:31" x14ac:dyDescent="0.35">
      <c r="A260">
        <v>373489</v>
      </c>
      <c r="B260" s="2">
        <v>45878.861805555556</v>
      </c>
      <c r="C260" s="3">
        <v>45878</v>
      </c>
      <c r="D260" s="4">
        <v>0.86197916666666663</v>
      </c>
      <c r="E260">
        <v>0.86197916666666663</v>
      </c>
      <c r="F260" t="s">
        <v>31</v>
      </c>
      <c r="G260">
        <v>4</v>
      </c>
      <c r="H260">
        <v>3967</v>
      </c>
      <c r="I260">
        <v>70</v>
      </c>
      <c r="J260">
        <v>0</v>
      </c>
      <c r="K260">
        <v>1.6</v>
      </c>
      <c r="L260">
        <v>0.86180555555620231</v>
      </c>
      <c r="M260">
        <f t="shared" si="14"/>
        <v>0.95902777777519077</v>
      </c>
      <c r="N260" s="5">
        <v>56.584885</v>
      </c>
      <c r="O260">
        <v>-6.6393000000000004</v>
      </c>
      <c r="P260">
        <v>45878.861805555556</v>
      </c>
      <c r="Q260" s="6">
        <v>4.7763419151648561E-3</v>
      </c>
      <c r="R260" s="6">
        <f t="shared" si="13"/>
        <v>5.3285725022104657E-2</v>
      </c>
      <c r="S260" s="6">
        <f t="shared" si="12"/>
        <v>2744.0532366109646</v>
      </c>
      <c r="T260">
        <v>13</v>
      </c>
      <c r="U260">
        <v>0</v>
      </c>
      <c r="V260">
        <v>300</v>
      </c>
      <c r="W260">
        <v>15</v>
      </c>
      <c r="X260">
        <v>0</v>
      </c>
      <c r="Y260">
        <v>0</v>
      </c>
      <c r="Z260">
        <v>0</v>
      </c>
      <c r="AA260">
        <v>-37</v>
      </c>
      <c r="AB260">
        <v>-74</v>
      </c>
      <c r="AC260">
        <v>1074</v>
      </c>
      <c r="AD260">
        <v>56.584885</v>
      </c>
      <c r="AE260">
        <v>-6.6392870000000004</v>
      </c>
    </row>
    <row r="261" spans="1:31" x14ac:dyDescent="0.35">
      <c r="A261">
        <v>373489</v>
      </c>
      <c r="B261" s="2">
        <v>45877.056250000001</v>
      </c>
      <c r="C261" s="3">
        <v>45877</v>
      </c>
      <c r="D261" s="4">
        <v>5.6423611111111112E-2</v>
      </c>
      <c r="E261">
        <v>5.6423611111111112E-2</v>
      </c>
      <c r="F261" t="s">
        <v>31</v>
      </c>
      <c r="G261">
        <v>8</v>
      </c>
      <c r="H261">
        <v>4115</v>
      </c>
      <c r="I261">
        <v>94</v>
      </c>
      <c r="J261">
        <v>0</v>
      </c>
      <c r="K261">
        <v>1</v>
      </c>
      <c r="L261">
        <v>5.6250000001455192E-2</v>
      </c>
      <c r="M261">
        <f t="shared" si="14"/>
        <v>0.20555555555620231</v>
      </c>
      <c r="N261" s="5">
        <v>56.585254999999897</v>
      </c>
      <c r="O261">
        <v>-6.6387470000000004</v>
      </c>
      <c r="P261">
        <v>45877.056250000001</v>
      </c>
      <c r="Q261" s="6">
        <v>4.5099446567399646E-3</v>
      </c>
      <c r="R261" s="6">
        <f t="shared" si="13"/>
        <v>2.6020442226466767E-2</v>
      </c>
      <c r="S261" s="6">
        <f t="shared" si="12"/>
        <v>2744.0792570531912</v>
      </c>
      <c r="T261">
        <v>16</v>
      </c>
      <c r="U261">
        <v>0</v>
      </c>
      <c r="V261">
        <v>0</v>
      </c>
      <c r="W261">
        <v>18</v>
      </c>
      <c r="X261">
        <v>0</v>
      </c>
      <c r="Y261">
        <v>0</v>
      </c>
      <c r="Z261">
        <v>0</v>
      </c>
      <c r="AA261">
        <v>-198</v>
      </c>
      <c r="AB261">
        <v>-174</v>
      </c>
      <c r="AC261">
        <v>1041</v>
      </c>
      <c r="AD261">
        <v>56.58525649999995</v>
      </c>
      <c r="AE261">
        <v>-6.6387415000000001</v>
      </c>
    </row>
    <row r="262" spans="1:31" x14ac:dyDescent="0.35">
      <c r="A262">
        <v>373489</v>
      </c>
      <c r="B262" s="2">
        <v>45877.354861111111</v>
      </c>
      <c r="C262" s="3">
        <v>45877</v>
      </c>
      <c r="D262" s="4">
        <v>0.3550462962962963</v>
      </c>
      <c r="E262">
        <v>0.3550462962962963</v>
      </c>
      <c r="F262" t="s">
        <v>31</v>
      </c>
      <c r="G262">
        <v>7</v>
      </c>
      <c r="H262">
        <v>4061</v>
      </c>
      <c r="I262">
        <v>85</v>
      </c>
      <c r="J262">
        <v>0</v>
      </c>
      <c r="K262">
        <v>1</v>
      </c>
      <c r="L262">
        <v>0.35486111111094942</v>
      </c>
      <c r="M262">
        <f t="shared" si="14"/>
        <v>0.476736111115315</v>
      </c>
      <c r="N262" s="5">
        <v>56.585299999999897</v>
      </c>
      <c r="O262">
        <v>-6.6383299999999998</v>
      </c>
      <c r="P262">
        <v>45877.354861111111</v>
      </c>
      <c r="Q262" s="6">
        <v>4.509940600454369E-3</v>
      </c>
      <c r="R262" s="6">
        <f t="shared" si="13"/>
        <v>1.6248463971044836E-2</v>
      </c>
      <c r="S262" s="6">
        <f t="shared" si="12"/>
        <v>2744.0955055171621</v>
      </c>
      <c r="T262">
        <v>17</v>
      </c>
      <c r="U262">
        <v>0</v>
      </c>
      <c r="V262">
        <v>0</v>
      </c>
      <c r="W262">
        <v>18</v>
      </c>
      <c r="X262">
        <v>0</v>
      </c>
      <c r="Y262">
        <v>0</v>
      </c>
      <c r="Z262">
        <v>0</v>
      </c>
      <c r="AA262">
        <v>-198</v>
      </c>
      <c r="AB262">
        <v>-24</v>
      </c>
      <c r="AC262">
        <v>1059</v>
      </c>
      <c r="AD262">
        <v>56.585298499999894</v>
      </c>
      <c r="AE262">
        <v>-6.6383355000000002</v>
      </c>
    </row>
    <row r="263" spans="1:31" x14ac:dyDescent="0.35">
      <c r="A263">
        <v>373489</v>
      </c>
      <c r="B263" s="2">
        <v>45877.598611111112</v>
      </c>
      <c r="C263" s="3">
        <v>45877</v>
      </c>
      <c r="D263" s="4">
        <v>0.59864583333333332</v>
      </c>
      <c r="E263">
        <v>0.59864583333333332</v>
      </c>
      <c r="F263" t="s">
        <v>31</v>
      </c>
      <c r="G263">
        <v>7</v>
      </c>
      <c r="H263">
        <v>4018</v>
      </c>
      <c r="I263">
        <v>78</v>
      </c>
      <c r="J263">
        <v>0</v>
      </c>
      <c r="K263">
        <v>1.1000000000000001</v>
      </c>
      <c r="L263">
        <v>0.59861111111240461</v>
      </c>
      <c r="M263">
        <f t="shared" si="14"/>
        <v>0.23368055555329192</v>
      </c>
      <c r="N263" s="5">
        <v>56.585186</v>
      </c>
      <c r="O263">
        <v>-6.6381639999999997</v>
      </c>
      <c r="P263">
        <v>45877.598611111112</v>
      </c>
      <c r="Q263" s="6">
        <v>4.4905421135729281E-3</v>
      </c>
      <c r="R263" s="6">
        <f t="shared" si="13"/>
        <v>3.3768880659196872E-2</v>
      </c>
      <c r="S263" s="6">
        <f t="shared" si="12"/>
        <v>2744.1292743978215</v>
      </c>
      <c r="T263">
        <v>18</v>
      </c>
      <c r="U263">
        <v>0</v>
      </c>
      <c r="V263">
        <v>0</v>
      </c>
      <c r="W263">
        <v>20</v>
      </c>
      <c r="X263">
        <v>0</v>
      </c>
      <c r="Y263">
        <v>0</v>
      </c>
      <c r="Z263">
        <v>0</v>
      </c>
      <c r="AA263">
        <v>-175</v>
      </c>
      <c r="AB263">
        <v>419</v>
      </c>
      <c r="AC263">
        <v>936</v>
      </c>
      <c r="AD263">
        <v>56.585186</v>
      </c>
      <c r="AE263">
        <v>-6.6381695000000001</v>
      </c>
    </row>
    <row r="264" spans="1:31" x14ac:dyDescent="0.35">
      <c r="A264">
        <v>373489</v>
      </c>
      <c r="B264" s="2">
        <v>45876.868750000001</v>
      </c>
      <c r="C264" s="3">
        <v>45876</v>
      </c>
      <c r="D264" s="4">
        <v>0.8689930555555555</v>
      </c>
      <c r="E264">
        <v>0.8689930555555555</v>
      </c>
      <c r="F264" t="s">
        <v>31</v>
      </c>
      <c r="G264">
        <v>4</v>
      </c>
      <c r="H264">
        <v>4140</v>
      </c>
      <c r="I264">
        <v>98</v>
      </c>
      <c r="J264">
        <v>0</v>
      </c>
      <c r="K264">
        <v>1.6</v>
      </c>
      <c r="L264">
        <v>0.86875000000145519</v>
      </c>
      <c r="M264">
        <f t="shared" si="14"/>
        <v>0.47291666666569654</v>
      </c>
      <c r="N264" s="5">
        <v>56.58522</v>
      </c>
      <c r="O264">
        <v>-6.6387119999999999</v>
      </c>
      <c r="P264">
        <v>45876.868750000001</v>
      </c>
      <c r="Q264" s="6">
        <v>4.4088919258839891E-3</v>
      </c>
      <c r="R264" s="6">
        <f t="shared" si="13"/>
        <v>0.14770981042568015</v>
      </c>
      <c r="S264" s="6">
        <f t="shared" si="12"/>
        <v>2744.2769842082471</v>
      </c>
      <c r="T264">
        <v>19</v>
      </c>
      <c r="U264">
        <v>0</v>
      </c>
      <c r="V264">
        <v>0</v>
      </c>
      <c r="W264">
        <v>16</v>
      </c>
      <c r="X264">
        <v>0</v>
      </c>
      <c r="Y264">
        <v>0</v>
      </c>
      <c r="Z264">
        <v>0</v>
      </c>
      <c r="AA264">
        <v>-123</v>
      </c>
      <c r="AB264">
        <v>-139</v>
      </c>
      <c r="AC264">
        <v>1057</v>
      </c>
      <c r="AD264">
        <v>56.58522</v>
      </c>
      <c r="AE264">
        <v>-6.638706</v>
      </c>
    </row>
    <row r="265" spans="1:31" x14ac:dyDescent="0.35">
      <c r="A265">
        <v>373489</v>
      </c>
      <c r="B265" s="2">
        <v>45878.07708333333</v>
      </c>
      <c r="C265" s="3">
        <v>45878</v>
      </c>
      <c r="D265" s="4">
        <v>7.7245370370370367E-2</v>
      </c>
      <c r="E265">
        <v>7.7245370370370367E-2</v>
      </c>
      <c r="F265" t="s">
        <v>31</v>
      </c>
      <c r="G265">
        <v>8</v>
      </c>
      <c r="H265">
        <v>3970</v>
      </c>
      <c r="I265">
        <v>70</v>
      </c>
      <c r="J265">
        <v>0</v>
      </c>
      <c r="K265">
        <v>1</v>
      </c>
      <c r="L265">
        <v>7.7083333329937886E-2</v>
      </c>
      <c r="M265">
        <f t="shared" si="14"/>
        <v>0.20208333332993789</v>
      </c>
      <c r="N265" s="5">
        <v>56.583897</v>
      </c>
      <c r="O265">
        <v>-6.6384949999999998</v>
      </c>
      <c r="P265">
        <v>45878.07708333333</v>
      </c>
      <c r="Q265" s="6">
        <v>4.2807308025942835E-3</v>
      </c>
      <c r="R265" s="6">
        <f t="shared" si="13"/>
        <v>6.570833448154495E-2</v>
      </c>
      <c r="S265" s="6">
        <f t="shared" si="12"/>
        <v>2744.3426925427289</v>
      </c>
      <c r="T265">
        <v>16</v>
      </c>
      <c r="U265">
        <v>0</v>
      </c>
      <c r="V265">
        <v>145</v>
      </c>
      <c r="W265">
        <v>14</v>
      </c>
      <c r="X265">
        <v>0</v>
      </c>
      <c r="Y265">
        <v>0</v>
      </c>
      <c r="Z265">
        <v>0</v>
      </c>
      <c r="AA265">
        <v>-273</v>
      </c>
      <c r="AB265">
        <v>-299</v>
      </c>
      <c r="AC265">
        <v>970</v>
      </c>
      <c r="AD265">
        <v>56.583902500000001</v>
      </c>
      <c r="AE265">
        <v>-6.6385009999999998</v>
      </c>
    </row>
    <row r="266" spans="1:31" x14ac:dyDescent="0.35">
      <c r="A266">
        <v>373489</v>
      </c>
      <c r="B266" s="2">
        <v>45878.32708333333</v>
      </c>
      <c r="C266" s="3">
        <v>45878</v>
      </c>
      <c r="D266" s="4">
        <v>0.32733796296296297</v>
      </c>
      <c r="E266">
        <v>0.32733796296296297</v>
      </c>
      <c r="F266" t="s">
        <v>31</v>
      </c>
      <c r="G266">
        <v>8</v>
      </c>
      <c r="H266">
        <v>3967</v>
      </c>
      <c r="I266">
        <v>70</v>
      </c>
      <c r="J266">
        <v>0</v>
      </c>
      <c r="K266">
        <v>1.7</v>
      </c>
      <c r="L266">
        <v>0.32708333332993789</v>
      </c>
      <c r="M266">
        <f t="shared" si="14"/>
        <v>0.98680555555620231</v>
      </c>
      <c r="N266" s="5">
        <v>56.584423000000001</v>
      </c>
      <c r="O266">
        <v>-6.6389839999999998</v>
      </c>
      <c r="P266">
        <v>45878.32708333333</v>
      </c>
      <c r="Q266" s="6">
        <v>4.2807153360742657E-3</v>
      </c>
      <c r="R266" s="6">
        <f t="shared" si="13"/>
        <v>9.1348549085687791E-2</v>
      </c>
      <c r="S266" s="6">
        <f t="shared" si="12"/>
        <v>2744.4340410918144</v>
      </c>
      <c r="T266">
        <v>9</v>
      </c>
      <c r="U266">
        <v>1</v>
      </c>
      <c r="V266">
        <v>200</v>
      </c>
      <c r="W266">
        <v>19</v>
      </c>
      <c r="X266">
        <v>0</v>
      </c>
      <c r="Y266">
        <v>0</v>
      </c>
      <c r="Z266">
        <v>0</v>
      </c>
      <c r="AA266">
        <v>-347</v>
      </c>
      <c r="AB266">
        <v>-53</v>
      </c>
      <c r="AC266">
        <v>1010</v>
      </c>
      <c r="AD266">
        <v>56.584417500000001</v>
      </c>
      <c r="AE266">
        <v>-6.6389779999999998</v>
      </c>
    </row>
    <row r="267" spans="1:31" x14ac:dyDescent="0.35">
      <c r="A267">
        <v>373489</v>
      </c>
      <c r="B267" s="2">
        <v>45877.646527777775</v>
      </c>
      <c r="C267" s="3">
        <v>45877</v>
      </c>
      <c r="D267" s="4">
        <v>0.64672453703703703</v>
      </c>
      <c r="E267">
        <v>0.64672453703703703</v>
      </c>
      <c r="F267" t="s">
        <v>31</v>
      </c>
      <c r="G267">
        <v>6</v>
      </c>
      <c r="H267">
        <v>4012</v>
      </c>
      <c r="I267">
        <v>77</v>
      </c>
      <c r="J267">
        <v>0</v>
      </c>
      <c r="K267">
        <v>1.6</v>
      </c>
      <c r="L267">
        <v>0.64652777777519077</v>
      </c>
      <c r="M267">
        <f t="shared" si="14"/>
        <v>0.69166666666569654</v>
      </c>
      <c r="N267" s="5">
        <v>56.585135999999899</v>
      </c>
      <c r="O267">
        <v>-6.6382430000000001</v>
      </c>
      <c r="P267">
        <v>45877.646527777775</v>
      </c>
      <c r="Q267" s="6">
        <v>4.2492294437060686E-3</v>
      </c>
      <c r="R267" s="6">
        <f t="shared" si="13"/>
        <v>4.1852369564627139E-3</v>
      </c>
      <c r="S267" s="6">
        <f t="shared" si="12"/>
        <v>2744.4382263287707</v>
      </c>
      <c r="T267">
        <v>19</v>
      </c>
      <c r="U267">
        <v>0</v>
      </c>
      <c r="V267">
        <v>0</v>
      </c>
      <c r="W267">
        <v>22</v>
      </c>
      <c r="X267">
        <v>0</v>
      </c>
      <c r="Y267">
        <v>0</v>
      </c>
      <c r="Z267">
        <v>0</v>
      </c>
      <c r="AA267">
        <v>-191</v>
      </c>
      <c r="AB267">
        <v>-322</v>
      </c>
      <c r="AC267">
        <v>973</v>
      </c>
      <c r="AD267">
        <v>56.585137999999951</v>
      </c>
      <c r="AE267">
        <v>-6.6382384999999999</v>
      </c>
    </row>
    <row r="268" spans="1:31" x14ac:dyDescent="0.35">
      <c r="A268">
        <v>373489</v>
      </c>
      <c r="B268" s="2">
        <v>45877.736805555556</v>
      </c>
      <c r="C268" s="3">
        <v>45877</v>
      </c>
      <c r="D268" s="4">
        <v>0.73739583333333336</v>
      </c>
      <c r="E268">
        <v>0.73739583333333336</v>
      </c>
      <c r="F268" t="s">
        <v>31</v>
      </c>
      <c r="G268">
        <v>8</v>
      </c>
      <c r="H268">
        <v>4007</v>
      </c>
      <c r="I268">
        <v>76</v>
      </c>
      <c r="J268">
        <v>0</v>
      </c>
      <c r="K268">
        <v>1</v>
      </c>
      <c r="L268">
        <v>0.73680555555620231</v>
      </c>
      <c r="M268">
        <f t="shared" si="14"/>
        <v>0.72986111111094942</v>
      </c>
      <c r="N268" s="5">
        <v>56.585116999999897</v>
      </c>
      <c r="O268">
        <v>-6.6383020000000004</v>
      </c>
      <c r="P268">
        <v>45877.736805555556</v>
      </c>
      <c r="Q268" s="6">
        <v>4.2251996084623255E-3</v>
      </c>
      <c r="R268" s="6">
        <f t="shared" si="13"/>
        <v>2.2800126400379524E-3</v>
      </c>
      <c r="S268" s="6">
        <f t="shared" si="12"/>
        <v>2744.4405063414106</v>
      </c>
      <c r="T268">
        <v>12</v>
      </c>
      <c r="U268">
        <v>0</v>
      </c>
      <c r="V268">
        <v>48</v>
      </c>
      <c r="W268">
        <v>22</v>
      </c>
      <c r="X268">
        <v>0</v>
      </c>
      <c r="Y268">
        <v>0</v>
      </c>
      <c r="Z268">
        <v>0</v>
      </c>
      <c r="AA268">
        <v>-176</v>
      </c>
      <c r="AB268">
        <v>-82</v>
      </c>
      <c r="AC268">
        <v>1040</v>
      </c>
      <c r="AD268">
        <v>56.585116999999897</v>
      </c>
      <c r="AE268">
        <v>-6.6383135000000006</v>
      </c>
    </row>
    <row r="269" spans="1:31" x14ac:dyDescent="0.35">
      <c r="A269">
        <v>373489</v>
      </c>
      <c r="B269" s="2">
        <v>45877.722916666666</v>
      </c>
      <c r="C269" s="3">
        <v>45877</v>
      </c>
      <c r="D269" s="4">
        <v>0.72307870370370375</v>
      </c>
      <c r="E269">
        <v>0.72307870370370375</v>
      </c>
      <c r="F269" t="s">
        <v>31</v>
      </c>
      <c r="G269">
        <v>6</v>
      </c>
      <c r="H269">
        <v>4007</v>
      </c>
      <c r="I269">
        <v>76</v>
      </c>
      <c r="J269">
        <v>0</v>
      </c>
      <c r="K269">
        <v>1.6</v>
      </c>
      <c r="L269">
        <v>0.72291666666569654</v>
      </c>
      <c r="M269">
        <f t="shared" si="14"/>
        <v>0.85833333333721384</v>
      </c>
      <c r="N269" s="5">
        <v>56.585098000000002</v>
      </c>
      <c r="O269">
        <v>-6.6382880000000002</v>
      </c>
      <c r="P269">
        <v>45877.722916666666</v>
      </c>
      <c r="Q269" s="6">
        <v>3.9700324298614425E-3</v>
      </c>
      <c r="R269" s="6">
        <f t="shared" si="13"/>
        <v>0.13382490626007845</v>
      </c>
      <c r="S269" s="6">
        <f t="shared" si="12"/>
        <v>2744.5743312476707</v>
      </c>
      <c r="T269">
        <v>14</v>
      </c>
      <c r="U269">
        <v>0</v>
      </c>
      <c r="V269">
        <v>0</v>
      </c>
      <c r="W269">
        <v>22</v>
      </c>
      <c r="X269">
        <v>0</v>
      </c>
      <c r="Y269">
        <v>0</v>
      </c>
      <c r="Z269">
        <v>0</v>
      </c>
      <c r="AA269">
        <v>-148</v>
      </c>
      <c r="AB269">
        <v>76</v>
      </c>
      <c r="AC269">
        <v>1040</v>
      </c>
      <c r="AD269">
        <v>56.58509599999995</v>
      </c>
      <c r="AE269">
        <v>-6.6382919999999999</v>
      </c>
    </row>
    <row r="270" spans="1:31" x14ac:dyDescent="0.35">
      <c r="A270">
        <v>373489</v>
      </c>
      <c r="B270" s="2">
        <v>45877.993750000001</v>
      </c>
      <c r="C270" s="3">
        <v>45877</v>
      </c>
      <c r="D270" s="4">
        <v>0.9939351851851852</v>
      </c>
      <c r="E270">
        <v>0.9939351851851852</v>
      </c>
      <c r="F270" t="s">
        <v>31</v>
      </c>
      <c r="G270">
        <v>6</v>
      </c>
      <c r="H270">
        <v>3975</v>
      </c>
      <c r="I270">
        <v>71</v>
      </c>
      <c r="J270">
        <v>0</v>
      </c>
      <c r="K270">
        <v>1.1000000000000001</v>
      </c>
      <c r="L270">
        <v>0.99375000000145519</v>
      </c>
      <c r="M270">
        <f t="shared" si="14"/>
        <v>0.71944444444670808</v>
      </c>
      <c r="N270" s="5">
        <v>56.5839</v>
      </c>
      <c r="O270">
        <v>-6.6384970000000001</v>
      </c>
      <c r="P270">
        <v>45877.993750000001</v>
      </c>
      <c r="Q270" s="6">
        <v>3.4738387553148011E-3</v>
      </c>
      <c r="R270" s="6">
        <f t="shared" si="13"/>
        <v>0.14985766909225987</v>
      </c>
      <c r="S270" s="6">
        <f t="shared" si="12"/>
        <v>2744.7241889167631</v>
      </c>
      <c r="T270">
        <v>20</v>
      </c>
      <c r="U270">
        <v>0</v>
      </c>
      <c r="V270">
        <v>0</v>
      </c>
      <c r="W270">
        <v>16</v>
      </c>
      <c r="X270">
        <v>0</v>
      </c>
      <c r="Y270">
        <v>0</v>
      </c>
      <c r="Z270">
        <v>0</v>
      </c>
      <c r="AA270">
        <v>-143</v>
      </c>
      <c r="AB270">
        <v>-116</v>
      </c>
      <c r="AC270">
        <v>1047</v>
      </c>
      <c r="AD270">
        <v>56.583896500000002</v>
      </c>
      <c r="AE270">
        <v>-6.63849</v>
      </c>
    </row>
    <row r="271" spans="1:31" x14ac:dyDescent="0.35">
      <c r="A271">
        <v>373489</v>
      </c>
      <c r="B271" s="2">
        <v>45877.445138888892</v>
      </c>
      <c r="C271" s="3">
        <v>45877</v>
      </c>
      <c r="D271" s="4">
        <v>0.44534722222222223</v>
      </c>
      <c r="E271">
        <v>0.44534722222222223</v>
      </c>
      <c r="F271" t="s">
        <v>31</v>
      </c>
      <c r="G271">
        <v>7</v>
      </c>
      <c r="H271">
        <v>4038</v>
      </c>
      <c r="I271">
        <v>81</v>
      </c>
      <c r="J271">
        <v>0</v>
      </c>
      <c r="K271">
        <v>1.3</v>
      </c>
      <c r="L271">
        <v>0.44513888889196096</v>
      </c>
      <c r="M271">
        <f t="shared" si="14"/>
        <v>0.82361111111094942</v>
      </c>
      <c r="N271" s="5">
        <v>56.585247000000003</v>
      </c>
      <c r="O271">
        <v>-6.6384179999999997</v>
      </c>
      <c r="P271">
        <v>45877.445138888892</v>
      </c>
      <c r="Q271" s="6">
        <v>3.4614187114110728E-3</v>
      </c>
      <c r="R271" s="6">
        <f t="shared" si="13"/>
        <v>9.4565664368821134E-2</v>
      </c>
      <c r="S271" s="6">
        <f t="shared" si="12"/>
        <v>2744.818754581132</v>
      </c>
      <c r="T271">
        <v>29</v>
      </c>
      <c r="U271">
        <v>0</v>
      </c>
      <c r="V271">
        <v>0</v>
      </c>
      <c r="W271">
        <v>19</v>
      </c>
      <c r="X271">
        <v>0</v>
      </c>
      <c r="Y271">
        <v>0</v>
      </c>
      <c r="Z271">
        <v>0</v>
      </c>
      <c r="AA271">
        <v>-105</v>
      </c>
      <c r="AB271">
        <v>66</v>
      </c>
      <c r="AC271">
        <v>1038</v>
      </c>
      <c r="AD271">
        <v>56.585244999999951</v>
      </c>
      <c r="AE271">
        <v>-6.6384209999999992</v>
      </c>
    </row>
    <row r="272" spans="1:31" x14ac:dyDescent="0.35">
      <c r="A272">
        <v>373489</v>
      </c>
      <c r="B272" s="2">
        <v>45878.20208333333</v>
      </c>
      <c r="C272" s="3">
        <v>45878</v>
      </c>
      <c r="D272" s="4">
        <v>0.20228009259259258</v>
      </c>
      <c r="E272">
        <v>0.20228009259259258</v>
      </c>
      <c r="F272" t="s">
        <v>31</v>
      </c>
      <c r="G272">
        <v>9</v>
      </c>
      <c r="H272">
        <v>3964</v>
      </c>
      <c r="I272">
        <v>69</v>
      </c>
      <c r="J272">
        <v>0</v>
      </c>
      <c r="K272">
        <v>0.9</v>
      </c>
      <c r="L272">
        <v>0.20208333332993789</v>
      </c>
      <c r="M272">
        <f t="shared" si="14"/>
        <v>0.58402777777519077</v>
      </c>
      <c r="N272" s="5">
        <v>56.584465000000002</v>
      </c>
      <c r="O272">
        <v>-6.6390250000000002</v>
      </c>
      <c r="P272">
        <v>45878.20208333333</v>
      </c>
      <c r="Q272" s="6">
        <v>3.2280123756418685E-3</v>
      </c>
      <c r="R272" s="6">
        <f t="shared" si="13"/>
        <v>9.0140210824203051E-2</v>
      </c>
      <c r="S272" s="6">
        <f t="shared" si="12"/>
        <v>2744.9088947919563</v>
      </c>
      <c r="T272">
        <v>11</v>
      </c>
      <c r="U272">
        <v>0</v>
      </c>
      <c r="V272">
        <v>0</v>
      </c>
      <c r="W272">
        <v>15</v>
      </c>
      <c r="X272">
        <v>0</v>
      </c>
      <c r="Y272">
        <v>0</v>
      </c>
      <c r="Z272">
        <v>0</v>
      </c>
      <c r="AA272">
        <v>-185</v>
      </c>
      <c r="AB272">
        <v>-275</v>
      </c>
      <c r="AC272">
        <v>988</v>
      </c>
      <c r="AD272">
        <v>56.58446299999995</v>
      </c>
      <c r="AE272">
        <v>-6.6390169999999999</v>
      </c>
    </row>
    <row r="273" spans="1:31" x14ac:dyDescent="0.35">
      <c r="A273">
        <v>373489</v>
      </c>
      <c r="B273" s="2">
        <v>45876.96597222222</v>
      </c>
      <c r="C273" s="3">
        <v>45876</v>
      </c>
      <c r="D273" s="4">
        <v>0.96613425925925922</v>
      </c>
      <c r="E273">
        <v>0.96613425925925922</v>
      </c>
      <c r="F273" t="s">
        <v>31</v>
      </c>
      <c r="G273">
        <v>6</v>
      </c>
      <c r="H273">
        <v>4126</v>
      </c>
      <c r="I273">
        <v>96</v>
      </c>
      <c r="J273">
        <v>0</v>
      </c>
      <c r="K273">
        <v>1.4</v>
      </c>
      <c r="L273">
        <v>0.96597222222044365</v>
      </c>
      <c r="M273">
        <f t="shared" si="14"/>
        <v>0.47291666666569654</v>
      </c>
      <c r="N273" s="5">
        <v>56.585262</v>
      </c>
      <c r="O273">
        <v>-6.6387559999999999</v>
      </c>
      <c r="P273">
        <v>45876.96597222222</v>
      </c>
      <c r="Q273" s="6">
        <v>3.0465804382493562E-3</v>
      </c>
      <c r="R273" s="6">
        <f t="shared" si="13"/>
        <v>0.15143649356329683</v>
      </c>
      <c r="S273" s="6">
        <f t="shared" si="12"/>
        <v>2745.0603312855196</v>
      </c>
      <c r="T273">
        <v>25</v>
      </c>
      <c r="U273">
        <v>0</v>
      </c>
      <c r="V273">
        <v>0</v>
      </c>
      <c r="W273">
        <v>16</v>
      </c>
      <c r="X273">
        <v>0</v>
      </c>
      <c r="Y273">
        <v>0</v>
      </c>
      <c r="Z273">
        <v>0</v>
      </c>
      <c r="AA273">
        <v>-204</v>
      </c>
      <c r="AB273">
        <v>-253</v>
      </c>
      <c r="AC273">
        <v>1014</v>
      </c>
      <c r="AD273">
        <v>56.585263999999952</v>
      </c>
      <c r="AE273">
        <v>-6.6387580000000002</v>
      </c>
    </row>
    <row r="274" spans="1:31" x14ac:dyDescent="0.35">
      <c r="A274">
        <v>373489</v>
      </c>
      <c r="B274" s="2">
        <v>45877.979861111111</v>
      </c>
      <c r="C274" s="3">
        <v>45877</v>
      </c>
      <c r="D274" s="4">
        <v>0.98002314814814817</v>
      </c>
      <c r="E274">
        <v>0.98002314814814817</v>
      </c>
      <c r="F274" t="s">
        <v>31</v>
      </c>
      <c r="G274">
        <v>6</v>
      </c>
      <c r="H274">
        <v>3978</v>
      </c>
      <c r="I274">
        <v>71</v>
      </c>
      <c r="J274">
        <v>0</v>
      </c>
      <c r="K274">
        <v>1.2</v>
      </c>
      <c r="L274">
        <v>0.97986111111094942</v>
      </c>
      <c r="M274">
        <f t="shared" si="14"/>
        <v>9.7916666665696539E-2</v>
      </c>
      <c r="N274" s="5">
        <v>56.583908000000001</v>
      </c>
      <c r="O274">
        <v>-6.63849</v>
      </c>
      <c r="P274">
        <v>45877.979861111111</v>
      </c>
      <c r="Q274" s="6">
        <v>2.9623582578852644E-3</v>
      </c>
      <c r="R274" s="6">
        <f t="shared" si="13"/>
        <v>6.9218422467404422E-2</v>
      </c>
      <c r="S274" s="6">
        <f t="shared" si="12"/>
        <v>2745.1295497079868</v>
      </c>
      <c r="T274">
        <v>17</v>
      </c>
      <c r="U274">
        <v>0</v>
      </c>
      <c r="V274">
        <v>186</v>
      </c>
      <c r="W274">
        <v>15</v>
      </c>
      <c r="X274">
        <v>0</v>
      </c>
      <c r="Y274">
        <v>0</v>
      </c>
      <c r="Z274">
        <v>0</v>
      </c>
      <c r="AA274">
        <v>-66</v>
      </c>
      <c r="AB274">
        <v>53</v>
      </c>
      <c r="AC274">
        <v>1053</v>
      </c>
      <c r="AD274">
        <v>56.583904000000004</v>
      </c>
      <c r="AE274">
        <v>-6.6384935</v>
      </c>
    </row>
    <row r="275" spans="1:31" x14ac:dyDescent="0.35">
      <c r="A275">
        <v>373489</v>
      </c>
      <c r="B275" s="2">
        <v>45878.21597222222</v>
      </c>
      <c r="C275" s="3">
        <v>45878</v>
      </c>
      <c r="D275" s="4">
        <v>0.21616898148148148</v>
      </c>
      <c r="E275">
        <v>0.21616898148148148</v>
      </c>
      <c r="F275" t="s">
        <v>31</v>
      </c>
      <c r="G275">
        <v>7</v>
      </c>
      <c r="H275">
        <v>3964</v>
      </c>
      <c r="I275">
        <v>69</v>
      </c>
      <c r="J275">
        <v>0</v>
      </c>
      <c r="K275">
        <v>1</v>
      </c>
      <c r="L275">
        <v>0.21597222222044365</v>
      </c>
      <c r="M275">
        <f t="shared" si="14"/>
        <v>0.476388888884685</v>
      </c>
      <c r="N275" s="5">
        <v>56.584460999999898</v>
      </c>
      <c r="O275">
        <v>-6.6390089999999997</v>
      </c>
      <c r="P275">
        <v>45878.21597222222</v>
      </c>
      <c r="Q275" s="6">
        <v>2.9623499752784786E-3</v>
      </c>
      <c r="R275" s="6">
        <f t="shared" si="13"/>
        <v>5.3893140588435508E-2</v>
      </c>
      <c r="S275" s="6">
        <f t="shared" si="12"/>
        <v>2745.1834428485754</v>
      </c>
      <c r="T275">
        <v>10</v>
      </c>
      <c r="U275">
        <v>0</v>
      </c>
      <c r="V275">
        <v>0</v>
      </c>
      <c r="W275">
        <v>15</v>
      </c>
      <c r="X275">
        <v>0</v>
      </c>
      <c r="Y275">
        <v>0</v>
      </c>
      <c r="Z275">
        <v>0</v>
      </c>
      <c r="AA275">
        <v>-234</v>
      </c>
      <c r="AB275">
        <v>-269</v>
      </c>
      <c r="AC275">
        <v>947</v>
      </c>
      <c r="AD275">
        <v>56.584464999999895</v>
      </c>
      <c r="AE275">
        <v>-6.6390124999999998</v>
      </c>
    </row>
    <row r="276" spans="1:31" x14ac:dyDescent="0.35">
      <c r="A276">
        <v>373489</v>
      </c>
      <c r="B276" s="2">
        <v>45878.736805555556</v>
      </c>
      <c r="C276" s="3">
        <v>45878</v>
      </c>
      <c r="D276" s="4">
        <v>0.7371875</v>
      </c>
      <c r="E276">
        <v>0.7371875</v>
      </c>
      <c r="F276" t="s">
        <v>31</v>
      </c>
      <c r="G276">
        <v>6</v>
      </c>
      <c r="H276">
        <v>3981</v>
      </c>
      <c r="I276">
        <v>72</v>
      </c>
      <c r="J276">
        <v>0</v>
      </c>
      <c r="K276">
        <v>1.8</v>
      </c>
      <c r="L276">
        <v>0.73680555555620231</v>
      </c>
      <c r="M276">
        <f t="shared" si="14"/>
        <v>0.37916666666569654</v>
      </c>
      <c r="N276" s="5">
        <v>56.58493</v>
      </c>
      <c r="O276">
        <v>-6.6392309999999997</v>
      </c>
      <c r="P276">
        <v>45878.736805555556</v>
      </c>
      <c r="Q276" s="6">
        <v>2.8873443557201339E-3</v>
      </c>
      <c r="R276" s="6">
        <f t="shared" si="13"/>
        <v>0.12387115374262699</v>
      </c>
      <c r="S276" s="6">
        <f t="shared" si="12"/>
        <v>2745.307314002318</v>
      </c>
      <c r="T276">
        <v>10</v>
      </c>
      <c r="U276">
        <v>0</v>
      </c>
      <c r="V276">
        <v>0</v>
      </c>
      <c r="W276">
        <v>21</v>
      </c>
      <c r="X276">
        <v>0</v>
      </c>
      <c r="Y276">
        <v>0</v>
      </c>
      <c r="Z276">
        <v>0</v>
      </c>
      <c r="AA276">
        <v>-115</v>
      </c>
      <c r="AB276">
        <v>-108</v>
      </c>
      <c r="AC276">
        <v>1050</v>
      </c>
      <c r="AD276">
        <v>56.584934000000004</v>
      </c>
      <c r="AE276">
        <v>-6.6392340000000001</v>
      </c>
    </row>
    <row r="277" spans="1:31" x14ac:dyDescent="0.35">
      <c r="A277">
        <v>373489</v>
      </c>
      <c r="B277" s="2">
        <v>45878.021527777775</v>
      </c>
      <c r="C277" s="3">
        <v>45878</v>
      </c>
      <c r="D277" s="4">
        <v>2.1689814814814815E-2</v>
      </c>
      <c r="E277">
        <v>2.1689814814814815E-2</v>
      </c>
      <c r="F277" t="s">
        <v>31</v>
      </c>
      <c r="G277">
        <v>10</v>
      </c>
      <c r="H277">
        <v>3973</v>
      </c>
      <c r="I277">
        <v>71</v>
      </c>
      <c r="J277">
        <v>0</v>
      </c>
      <c r="K277">
        <v>1.3</v>
      </c>
      <c r="L277">
        <v>2.1527777775190771E-2</v>
      </c>
      <c r="M277">
        <f t="shared" si="14"/>
        <v>0.93124999999417923</v>
      </c>
      <c r="N277" s="5">
        <v>56.583893000000003</v>
      </c>
      <c r="O277">
        <v>-6.6384920000000003</v>
      </c>
      <c r="P277">
        <v>45878.021527777775</v>
      </c>
      <c r="Q277" s="6">
        <v>2.576894389069309E-3</v>
      </c>
      <c r="R277" s="6">
        <f t="shared" si="13"/>
        <v>0.1375605375968425</v>
      </c>
      <c r="S277" s="6">
        <f t="shared" si="12"/>
        <v>2745.444874539915</v>
      </c>
      <c r="T277">
        <v>18</v>
      </c>
      <c r="U277">
        <v>0</v>
      </c>
      <c r="V277">
        <v>212</v>
      </c>
      <c r="W277">
        <v>15</v>
      </c>
      <c r="X277">
        <v>0</v>
      </c>
      <c r="Y277">
        <v>0</v>
      </c>
      <c r="Z277">
        <v>0</v>
      </c>
      <c r="AA277">
        <v>-125</v>
      </c>
      <c r="AB277">
        <v>-181</v>
      </c>
      <c r="AC277">
        <v>1026</v>
      </c>
      <c r="AD277">
        <v>56.583890999999952</v>
      </c>
      <c r="AE277">
        <v>-6.6384860000000003</v>
      </c>
    </row>
    <row r="278" spans="1:31" x14ac:dyDescent="0.35">
      <c r="A278">
        <v>373489</v>
      </c>
      <c r="B278" s="2">
        <v>45877.84097222222</v>
      </c>
      <c r="C278" s="3">
        <v>45877</v>
      </c>
      <c r="D278" s="4">
        <v>0.84156249999999999</v>
      </c>
      <c r="E278">
        <v>0.84156249999999999</v>
      </c>
      <c r="F278" t="s">
        <v>31</v>
      </c>
      <c r="G278">
        <v>11</v>
      </c>
      <c r="H278">
        <v>3987</v>
      </c>
      <c r="I278">
        <v>73</v>
      </c>
      <c r="J278">
        <v>0</v>
      </c>
      <c r="K278">
        <v>0.8</v>
      </c>
      <c r="L278">
        <v>0.84097222222044365</v>
      </c>
      <c r="M278">
        <f t="shared" si="14"/>
        <v>0.84791666666569654</v>
      </c>
      <c r="N278" s="5">
        <v>56.585124999999898</v>
      </c>
      <c r="O278">
        <v>-6.6382880000000002</v>
      </c>
      <c r="P278">
        <v>45877.84097222222</v>
      </c>
      <c r="Q278" s="6">
        <v>2.5718600870887312E-3</v>
      </c>
      <c r="R278" s="6">
        <f t="shared" si="13"/>
        <v>8.5728669579604509E-4</v>
      </c>
      <c r="S278" s="6">
        <f t="shared" si="12"/>
        <v>2745.4457318266109</v>
      </c>
      <c r="T278">
        <v>14</v>
      </c>
      <c r="U278">
        <v>0</v>
      </c>
      <c r="V278">
        <v>0</v>
      </c>
      <c r="W278">
        <v>19</v>
      </c>
      <c r="X278">
        <v>0</v>
      </c>
      <c r="Y278">
        <v>0</v>
      </c>
      <c r="Z278">
        <v>0</v>
      </c>
      <c r="AA278">
        <v>-9</v>
      </c>
      <c r="AB278">
        <v>-29</v>
      </c>
      <c r="AC278">
        <v>963</v>
      </c>
      <c r="AD278">
        <v>56.585124999999898</v>
      </c>
      <c r="AE278">
        <v>-6.6382950000000003</v>
      </c>
    </row>
    <row r="279" spans="1:31" x14ac:dyDescent="0.35">
      <c r="A279">
        <v>373489</v>
      </c>
      <c r="B279" s="2">
        <v>45877.854861111111</v>
      </c>
      <c r="C279" s="3">
        <v>45877</v>
      </c>
      <c r="D279" s="4">
        <v>0.85503472222222221</v>
      </c>
      <c r="E279">
        <v>0.85503472222222221</v>
      </c>
      <c r="F279" t="s">
        <v>31</v>
      </c>
      <c r="G279">
        <v>10</v>
      </c>
      <c r="H279">
        <v>3984</v>
      </c>
      <c r="I279">
        <v>72</v>
      </c>
      <c r="J279">
        <v>0</v>
      </c>
      <c r="K279">
        <v>0.8</v>
      </c>
      <c r="L279">
        <v>0.85486111111094942</v>
      </c>
      <c r="M279">
        <f t="shared" si="14"/>
        <v>0.50416666666569654</v>
      </c>
      <c r="N279" s="5">
        <v>56.585124999999898</v>
      </c>
      <c r="O279">
        <v>-6.6383020000000004</v>
      </c>
      <c r="P279">
        <v>45877.854861111111</v>
      </c>
      <c r="Q279" s="6">
        <v>2.42154492821035E-3</v>
      </c>
      <c r="R279" s="6">
        <f t="shared" si="13"/>
        <v>182.77814206273914</v>
      </c>
      <c r="S279" s="6">
        <f t="shared" si="12"/>
        <v>2928.2238738893502</v>
      </c>
      <c r="T279">
        <v>14</v>
      </c>
      <c r="U279">
        <v>0</v>
      </c>
      <c r="V279">
        <v>230</v>
      </c>
      <c r="W279">
        <v>17</v>
      </c>
      <c r="X279">
        <v>0</v>
      </c>
      <c r="Y279">
        <v>0</v>
      </c>
      <c r="Z279">
        <v>0</v>
      </c>
      <c r="AA279">
        <v>-201</v>
      </c>
      <c r="AB279">
        <v>-267</v>
      </c>
      <c r="AC279">
        <v>1005</v>
      </c>
      <c r="AD279">
        <v>56.58512699999995</v>
      </c>
      <c r="AE279">
        <v>-6.6382965</v>
      </c>
    </row>
    <row r="280" spans="1:31" x14ac:dyDescent="0.35">
      <c r="A280">
        <v>373489</v>
      </c>
      <c r="B280" s="2">
        <v>45879.15347222222</v>
      </c>
      <c r="C280" s="3">
        <v>45879</v>
      </c>
      <c r="D280" s="4">
        <v>0.15385416666666665</v>
      </c>
      <c r="E280">
        <v>0.15385416666666665</v>
      </c>
      <c r="F280" t="s">
        <v>31</v>
      </c>
      <c r="G280">
        <v>9</v>
      </c>
      <c r="H280">
        <v>3938</v>
      </c>
      <c r="I280">
        <v>65</v>
      </c>
      <c r="J280">
        <v>0</v>
      </c>
      <c r="K280">
        <v>1</v>
      </c>
      <c r="L280">
        <v>0.15347222222044365</v>
      </c>
      <c r="M280">
        <f t="shared" si="14"/>
        <v>0.16041666666569654</v>
      </c>
      <c r="N280" s="5">
        <v>55.293498999999898</v>
      </c>
      <c r="O280">
        <v>-4.8226690000000003</v>
      </c>
      <c r="P280">
        <v>45879.15347222222</v>
      </c>
      <c r="Q280" s="6">
        <v>2.3211974163969955E-3</v>
      </c>
      <c r="R280" s="6">
        <f t="shared" si="13"/>
        <v>7.737324722224061E-4</v>
      </c>
      <c r="S280" s="6">
        <f t="shared" si="12"/>
        <v>2928.2246476218224</v>
      </c>
      <c r="T280">
        <v>33</v>
      </c>
      <c r="U280">
        <v>0</v>
      </c>
      <c r="V280">
        <v>244</v>
      </c>
      <c r="W280">
        <v>20</v>
      </c>
      <c r="X280">
        <v>0</v>
      </c>
      <c r="Y280">
        <v>0</v>
      </c>
      <c r="Z280">
        <v>0</v>
      </c>
      <c r="AA280">
        <v>-145</v>
      </c>
      <c r="AB280">
        <v>-185</v>
      </c>
      <c r="AC280">
        <v>1026</v>
      </c>
      <c r="AD280">
        <v>55.293496999999945</v>
      </c>
      <c r="AE280">
        <v>-4.8226639999999996</v>
      </c>
    </row>
    <row r="281" spans="1:31" x14ac:dyDescent="0.35">
      <c r="A281">
        <v>373489</v>
      </c>
      <c r="B281" s="2">
        <v>45879.167361111111</v>
      </c>
      <c r="C281" s="3">
        <v>45879</v>
      </c>
      <c r="D281" s="4">
        <v>0.16751157407407408</v>
      </c>
      <c r="E281">
        <v>0.16751157407407408</v>
      </c>
      <c r="F281" t="s">
        <v>31</v>
      </c>
      <c r="G281">
        <v>7</v>
      </c>
      <c r="H281">
        <v>3936</v>
      </c>
      <c r="I281">
        <v>64</v>
      </c>
      <c r="J281">
        <v>0</v>
      </c>
      <c r="K281">
        <v>1.2</v>
      </c>
      <c r="L281">
        <v>0.16736111111094942</v>
      </c>
      <c r="M281">
        <f t="shared" si="14"/>
        <v>0.58750000000145519</v>
      </c>
      <c r="N281" s="5">
        <v>55.293495</v>
      </c>
      <c r="O281">
        <v>-4.8226589999999998</v>
      </c>
      <c r="P281">
        <v>45879.167361111111</v>
      </c>
      <c r="Q281" s="6">
        <v>1.8836491593929355E-3</v>
      </c>
      <c r="R281" s="6">
        <f t="shared" si="13"/>
        <v>182.67936441132755</v>
      </c>
      <c r="S281" s="6">
        <f t="shared" si="12"/>
        <v>3110.9040120331501</v>
      </c>
      <c r="T281">
        <v>36</v>
      </c>
      <c r="U281">
        <v>0</v>
      </c>
      <c r="V281">
        <v>52</v>
      </c>
      <c r="W281">
        <v>20</v>
      </c>
      <c r="X281">
        <v>0</v>
      </c>
      <c r="Y281">
        <v>0</v>
      </c>
      <c r="Z281">
        <v>0</v>
      </c>
      <c r="AA281">
        <v>-225</v>
      </c>
      <c r="AB281">
        <v>-194</v>
      </c>
      <c r="AC281">
        <v>1032</v>
      </c>
      <c r="AD281">
        <v>55.293496999999945</v>
      </c>
      <c r="AE281">
        <v>-4.8226624999999999</v>
      </c>
    </row>
    <row r="282" spans="1:31" x14ac:dyDescent="0.35">
      <c r="A282">
        <v>373489</v>
      </c>
      <c r="B282" s="2">
        <v>45878.007638888892</v>
      </c>
      <c r="C282" s="3">
        <v>45878</v>
      </c>
      <c r="D282" s="4">
        <v>8.1828703703703699E-3</v>
      </c>
      <c r="E282">
        <v>8.1828703703703699E-3</v>
      </c>
      <c r="F282" t="s">
        <v>31</v>
      </c>
      <c r="G282">
        <v>10</v>
      </c>
      <c r="H282">
        <v>3978</v>
      </c>
      <c r="I282">
        <v>71</v>
      </c>
      <c r="J282">
        <v>0</v>
      </c>
      <c r="K282">
        <v>1.2</v>
      </c>
      <c r="L282">
        <v>7.6388888919609599E-3</v>
      </c>
      <c r="M282">
        <f t="shared" si="14"/>
        <v>2.8472222227719612E-2</v>
      </c>
      <c r="N282" s="5">
        <v>56.583893000000003</v>
      </c>
      <c r="O282">
        <v>-6.6384829999999999</v>
      </c>
      <c r="P282">
        <v>45878.007638888892</v>
      </c>
      <c r="Q282" s="6">
        <v>1.6533925131858728E-3</v>
      </c>
      <c r="R282" s="6">
        <f t="shared" si="13"/>
        <v>2.1996615171027412E-3</v>
      </c>
      <c r="S282" s="6">
        <f t="shared" si="12"/>
        <v>3110.906211694667</v>
      </c>
      <c r="T282">
        <v>15</v>
      </c>
      <c r="U282">
        <v>0</v>
      </c>
      <c r="V282">
        <v>0</v>
      </c>
      <c r="W282">
        <v>17</v>
      </c>
      <c r="X282">
        <v>0</v>
      </c>
      <c r="Y282">
        <v>0</v>
      </c>
      <c r="Z282">
        <v>0</v>
      </c>
      <c r="AA282">
        <v>-173</v>
      </c>
      <c r="AB282">
        <v>-156</v>
      </c>
      <c r="AC282">
        <v>1026</v>
      </c>
      <c r="AD282">
        <v>56.583893000000003</v>
      </c>
      <c r="AE282">
        <v>-6.6384875000000001</v>
      </c>
    </row>
    <row r="283" spans="1:31" x14ac:dyDescent="0.35">
      <c r="A283">
        <v>373489</v>
      </c>
      <c r="B283" s="2">
        <v>45878.049305555556</v>
      </c>
      <c r="C283" s="3">
        <v>45878</v>
      </c>
      <c r="D283" s="4">
        <v>4.9479166666666664E-2</v>
      </c>
      <c r="E283">
        <v>4.9479166666666664E-2</v>
      </c>
      <c r="F283" t="s">
        <v>31</v>
      </c>
      <c r="G283">
        <v>9</v>
      </c>
      <c r="H283">
        <v>3973</v>
      </c>
      <c r="I283">
        <v>71</v>
      </c>
      <c r="J283">
        <v>0</v>
      </c>
      <c r="K283">
        <v>1</v>
      </c>
      <c r="L283">
        <v>4.9305555556202307E-2</v>
      </c>
      <c r="M283">
        <f t="shared" si="14"/>
        <v>4.9305555556202307E-2</v>
      </c>
      <c r="N283" s="5">
        <v>56.583874000000002</v>
      </c>
      <c r="O283">
        <v>-6.6384730000000003</v>
      </c>
      <c r="P283">
        <v>45878.049305555556</v>
      </c>
      <c r="Q283" s="6">
        <v>1.3840010045430399E-3</v>
      </c>
      <c r="R283" s="6">
        <f t="shared" si="13"/>
        <v>6319.9815651517529</v>
      </c>
      <c r="S283" s="6">
        <f t="shared" si="12"/>
        <v>9430.887776846419</v>
      </c>
      <c r="T283">
        <v>13</v>
      </c>
      <c r="U283">
        <v>0</v>
      </c>
      <c r="V283">
        <v>0</v>
      </c>
      <c r="W283">
        <v>15</v>
      </c>
      <c r="X283">
        <v>0</v>
      </c>
      <c r="Y283">
        <v>0</v>
      </c>
      <c r="Z283">
        <v>0</v>
      </c>
      <c r="AA283">
        <v>-210</v>
      </c>
      <c r="AB283">
        <v>-270</v>
      </c>
      <c r="AC283">
        <v>999</v>
      </c>
      <c r="AD283">
        <v>56.583875999999947</v>
      </c>
      <c r="AE283">
        <v>-6.6384740000000004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 bird fixes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R.E. Green</dc:creator>
  <cp:lastModifiedBy>Dr R.E. Green</cp:lastModifiedBy>
  <dcterms:created xsi:type="dcterms:W3CDTF">2026-01-19T11:16:05Z</dcterms:created>
  <dcterms:modified xsi:type="dcterms:W3CDTF">2026-01-19T11:17:29Z</dcterms:modified>
</cp:coreProperties>
</file>